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Pricing Reference" sheetId="2" r:id="rId6"/>
    <sheet state="visible" name="Cadence Reference" sheetId="3" r:id="rId7"/>
    <sheet state="visible" name="Token Math Template" sheetId="4" r:id="rId8"/>
    <sheet state="visible" name="Scenario Analysis" sheetId="5" r:id="rId9"/>
    <sheet state="visible" name="Candidate Assumptions" sheetId="6" r:id="rId10"/>
  </sheets>
  <definedNames/>
  <calcPr/>
</workbook>
</file>

<file path=xl/sharedStrings.xml><?xml version="1.0" encoding="utf-8"?>
<sst xmlns="http://schemas.openxmlformats.org/spreadsheetml/2006/main" count="245" uniqueCount="190">
  <si>
    <t>AI System Design Assessment: Candidate Token Math Workbook</t>
  </si>
  <si>
    <t>Purpose</t>
  </si>
  <si>
    <t>Build a defensible annual token-cost model for an AI system using OpenAI and/or Anthropic models where appropriate. Estimate annual token spend against a fixed $50,000/year token budget.</t>
  </si>
  <si>
    <t>Important</t>
  </si>
  <si>
    <t>You do not need to spend the full budget. If utilization is low, explain why the design is efficient or what workload may be missing. If utilization is high, explain the operational value and risk controls.</t>
  </si>
  <si>
    <t>Deliverable</t>
  </si>
  <si>
    <t>Complete the Token Math Template, Candidate Assumptions, and Scenario Analysis tabs. Leave formulas intact.</t>
  </si>
  <si>
    <t>Math requirements</t>
  </si>
  <si>
    <t>Use cadence-aware annualization, separate input/output token pricing, explicit retry/recheck assumptions, and QA/evaluation overhead.</t>
  </si>
  <si>
    <t>Model routing</t>
  </si>
  <si>
    <t>Use cheaper models for high-volume/simple tasks and stronger models for complex reasoning, drafting, escalation, or evaluation. Explain why OpenAI or Anthropic is appropriate for each major workflow.</t>
  </si>
  <si>
    <t>Pricing</t>
  </si>
  <si>
    <t>The Pricing Reference tab includes official-source pricing as of the effective date. You may update it if prices have changed; cite any updated source in the sheet.</t>
  </si>
  <si>
    <t>What we evaluate</t>
  </si>
  <si>
    <t>Competency</t>
  </si>
  <si>
    <t>Strong response looks like</t>
  </si>
  <si>
    <t>Mathematical soundness</t>
  </si>
  <si>
    <t>Correct token units, input/output prices, cadence factors, annualization, and no hidden constants.</t>
  </si>
  <si>
    <t>System design judgment</t>
  </si>
  <si>
    <t>Breaks the AI system into realistic workflows rather than one generic model call.</t>
  </si>
  <si>
    <t>Cheap models for high-volume triage; stronger models only for complex reasoning or escalations.</t>
  </si>
  <si>
    <t>Budget reasoning</t>
  </si>
  <si>
    <t>Explains whether utilization is realistic; does not inflate spend just to hit $50,000.</t>
  </si>
  <si>
    <t>Assumptions</t>
  </si>
  <si>
    <t>Documents volume, context size, output size, retry/recheck, QA/eval, and caching/batch decisions.</t>
  </si>
  <si>
    <t>Sensitivity analysis</t>
  </si>
  <si>
    <t>Includes base, scaled, and stress cases with defensible multipliers.</t>
  </si>
  <si>
    <t>Candidate instructions</t>
  </si>
  <si>
    <t>1</t>
  </si>
  <si>
    <t>Define AI workflow components in the Token Math Template. Include monitoring, prioritization, inbound issue handling, check-ins, quality review, interventions, escalation, memory/retrieval, and evaluation/QA.</t>
  </si>
  <si>
    <t>2</t>
  </si>
  <si>
    <t>For each component, estimate runs per cadence, cadence, input/output tokens per run, model choice, retry/recheck rate, and QA multiplier.</t>
  </si>
  <si>
    <t>3</t>
  </si>
  <si>
    <t>Use the notes column to justify assumptions. Rows without assumptions may be treated as incomplete.</t>
  </si>
  <si>
    <t>4</t>
  </si>
  <si>
    <t>Complete the Candidate Assumptions tab with your rationale for volume, model routing, context size, retry/QA overhead, and budget utilization.</t>
  </si>
  <si>
    <t>5</t>
  </si>
  <si>
    <t>Complete Scenario Analysis for at least Base, Scaled, and Stress cases.</t>
  </si>
  <si>
    <t>Pricing Reference - OpenAI and Anthropic</t>
  </si>
  <si>
    <t>Prices are USD per 1,000,000 tokens unless noted. Candidates may update pricing if they cite a newer official source and effective date.</t>
  </si>
  <si>
    <t>Provider</t>
  </si>
  <si>
    <t>Model</t>
  </si>
  <si>
    <t>Intended use guidance</t>
  </si>
  <si>
    <t>Input $/1M</t>
  </si>
  <si>
    <t>Output $/1M</t>
  </si>
  <si>
    <t>Cached input $/1M</t>
  </si>
  <si>
    <t>Source URL</t>
  </si>
  <si>
    <t>Effective date</t>
  </si>
  <si>
    <t>Candidate notes</t>
  </si>
  <si>
    <t>OpenAI</t>
  </si>
  <si>
    <t>GPT-5.5</t>
  </si>
  <si>
    <t>Frontier reasoning, complex coding, high-stakes multi-step professional work</t>
  </si>
  <si>
    <t>https://openai.com/api/pricing/</t>
  </si>
  <si>
    <t>2026-05-17</t>
  </si>
  <si>
    <t>GPT-5.4</t>
  </si>
  <si>
    <t>Strong general reasoning/coding; use selectively for complex workflow stages</t>
  </si>
  <si>
    <t>GPT-5.4 mini</t>
  </si>
  <si>
    <t>Cost-conscious reasoning, subagents, standard drafting, triage-plus workflows</t>
  </si>
  <si>
    <t>text-embedding-3-small</t>
  </si>
  <si>
    <t>Low-cost semantic search, memory/retrieval indexing, RAG embeddings</t>
  </si>
  <si>
    <t>https://developers.openai.com/api/docs/models/text-embedding-3-small</t>
  </si>
  <si>
    <t>text-embedding-3-large</t>
  </si>
  <si>
    <t>Higher-quality semantic search / retrieval where embedding quality is critical</t>
  </si>
  <si>
    <t>Anthropic</t>
  </si>
  <si>
    <t>Claude Opus 4.7</t>
  </si>
  <si>
    <t>Frontier reasoning, complex escalation, deep analysis, advanced agents</t>
  </si>
  <si>
    <t>https://platform.claude.com/docs/en/about-claude/pricing</t>
  </si>
  <si>
    <t>Claude Sonnet 4.6</t>
  </si>
  <si>
    <t>High-quality general reasoning/drafting, complex customer workflows, evaluation</t>
  </si>
  <si>
    <t>Claude Haiku 4.5</t>
  </si>
  <si>
    <t>Fast/high-volume triage, classification, extraction, lightweight routing</t>
  </si>
  <si>
    <t>Notes for candidates</t>
  </si>
  <si>
    <t>Batch/caching</t>
  </si>
  <si>
    <t>Batch processing and prompt caching can materially reduce costs. If you assume either, document it in Candidate Assumptions and adjust prices or multipliers transparently.</t>
  </si>
  <si>
    <t>Anthropic cache</t>
  </si>
  <si>
    <t>Claude cache reads are listed at 10% of base input pricing on the official pricing page. Cached input column here reflects that read-rate shorthand, not cache-write pricing.</t>
  </si>
  <si>
    <t>OpenAI cache</t>
  </si>
  <si>
    <t>OpenAI cached input pricing varies by model and is listed separately from base input/output pricing on the official pricing page.</t>
  </si>
  <si>
    <t>Embeddings</t>
  </si>
  <si>
    <t>Embedding models have input-token costs only; output cost is entered as $0 so formulas remain valid.</t>
  </si>
  <si>
    <t>Cadence Reference</t>
  </si>
  <si>
    <t>Use the cadence factor to annualize work correctly.</t>
  </si>
  <si>
    <t>Cadence</t>
  </si>
  <si>
    <t>Annualization factor</t>
  </si>
  <si>
    <t>Use when</t>
  </si>
  <si>
    <t>Business day</t>
  </si>
  <si>
    <t>Runs only on business days</t>
  </si>
  <si>
    <t>Calendar day</t>
  </si>
  <si>
    <t>Runs every day including weekends/holidays</t>
  </si>
  <si>
    <t>Weekly</t>
  </si>
  <si>
    <t>Runs once per week</t>
  </si>
  <si>
    <t>Biweekly</t>
  </si>
  <si>
    <t>Runs once every two weeks</t>
  </si>
  <si>
    <t>Monthly</t>
  </si>
  <si>
    <t>Runs once per month</t>
  </si>
  <si>
    <t>Quarterly</t>
  </si>
  <si>
    <t>Runs once per quarter</t>
  </si>
  <si>
    <t>Annual</t>
  </si>
  <si>
    <t>Runs once per year</t>
  </si>
  <si>
    <t>Manual</t>
  </si>
  <si>
    <t>Use only if annualization is documented manually</t>
  </si>
  <si>
    <t>Token Math Template - Candidate Work Area</t>
  </si>
  <si>
    <t>This AI system is designed for a Sales CRM, focusing on automating inbound lead triage, meeting summaries, email drafting, and sales pipeline analytics. It routes high-volume classification to cost-effective models (Claude Haiku 4.5 / GPT-5.4 mini) and reserves frontier models (GPT-5.5 / Claude Opus 4.7) for complex deal strategy and escalation handling. RAG embeddings are used for memory retrieval.</t>
  </si>
  <si>
    <t>Annual token budget</t>
  </si>
  <si>
    <t>Required coverage check</t>
  </si>
  <si>
    <t>Estimated annual token cost</t>
  </si>
  <si>
    <t>Required operating area</t>
  </si>
  <si>
    <t>Status</t>
  </si>
  <si>
    <t>Candidate comment</t>
  </si>
  <si>
    <t>Budget utilization</t>
  </si>
  <si>
    <t>Account monitoring</t>
  </si>
  <si>
    <t>Remaining budget</t>
  </si>
  <si>
    <t>Prioritization</t>
  </si>
  <si>
    <t>Budget interpretation</t>
  </si>
  <si>
    <t>Inbound issue handling</t>
  </si>
  <si>
    <t>Components entered</t>
  </si>
  <si>
    <t>Customer check-in support</t>
  </si>
  <si>
    <t>Rows with missing required info</t>
  </si>
  <si>
    <t>Output quality review</t>
  </si>
  <si>
    <t>Targeted intervention planning</t>
  </si>
  <si>
    <t>24/7 responsiveness / escalation</t>
  </si>
  <si>
    <t>Workflow component</t>
  </si>
  <si>
    <t>Operating area</t>
  </si>
  <si>
    <t>Trigger / schedule</t>
  </si>
  <si>
    <t>Runs per cadence</t>
  </si>
  <si>
    <t>Avg input tokens/run</t>
  </si>
  <si>
    <t>Avg output tokens/run</t>
  </si>
  <si>
    <t>Retry / recheck rate</t>
  </si>
  <si>
    <t>QA / eval multiplier</t>
  </si>
  <si>
    <t>Base cost/run</t>
  </si>
  <si>
    <t>Adjusted cost/run</t>
  </si>
  <si>
    <t>Cost per cadence</t>
  </si>
  <si>
    <t>Estimated annual cost</t>
  </si>
  <si>
    <t>Notebook measured avg cost/run</t>
  </si>
  <si>
    <t>Estimate vs measured variance</t>
  </si>
  <si>
    <t>Candidate notes / assumptions</t>
  </si>
  <si>
    <t>Source / measurement link</t>
  </si>
  <si>
    <t>Review flag</t>
  </si>
  <si>
    <t>Inbound Lead Scoring</t>
  </si>
  <si>
    <t>New lead arrives</t>
  </si>
  <si>
    <t>Fast triage for incoming leads.</t>
  </si>
  <si>
    <t>Account Health Monitoring</t>
  </si>
  <si>
    <t>Nightly batch</t>
  </si>
  <si>
    <t>Daily scan of CRM activity to flag at-risk accounts.</t>
  </si>
  <si>
    <t>Customer Support Email Triage</t>
  </si>
  <si>
    <t>Email received</t>
  </si>
  <si>
    <t>Categorizes and drafts initial responses for inbound support tickets.</t>
  </si>
  <si>
    <t>Meeting Summary &amp; Follow-up</t>
  </si>
  <si>
    <t>Post-meeting</t>
  </si>
  <si>
    <t>Summarizes sales calls and drafts follow-up emails.</t>
  </si>
  <si>
    <t>Deal Strategy &amp; Escalation</t>
  </si>
  <si>
    <t>Deal stalls or high value alert</t>
  </si>
  <si>
    <t>Deep analysis of complex, high-value deal escalations.</t>
  </si>
  <si>
    <t>Churn Risk Intervention</t>
  </si>
  <si>
    <t>Account flagged as at-risk</t>
  </si>
  <si>
    <t>Generates custom intervention plans for at-risk accounts.</t>
  </si>
  <si>
    <t>AI Output Quality Review</t>
  </si>
  <si>
    <t>Weekly sample</t>
  </si>
  <si>
    <t>Evaluates a sample of AI-generated emails and summaries.</t>
  </si>
  <si>
    <t>CRM Data Enrichment</t>
  </si>
  <si>
    <t>Weekly batch</t>
  </si>
  <si>
    <t>Extracts key entities from notes to enrich CRM fields.</t>
  </si>
  <si>
    <t>Sales Pipeline RAG Indexing</t>
  </si>
  <si>
    <t>Daily sync</t>
  </si>
  <si>
    <t>Embeds sales notes for semantic search.</t>
  </si>
  <si>
    <t>Scenario Analysis</t>
  </si>
  <si>
    <t>Use this to test sensitivity. Fill multipliers for Base, Scaled, Stress, and Optimized cases. Explain each scenario in the rationale column.</t>
  </si>
  <si>
    <t>Scenario</t>
  </si>
  <si>
    <t>Volume multiplier</t>
  </si>
  <si>
    <t>Token-size multiplier</t>
  </si>
  <si>
    <t>Model price multiplier</t>
  </si>
  <si>
    <t>QA/retry multiplier</t>
  </si>
  <si>
    <t>Rationale</t>
  </si>
  <si>
    <t>Base case</t>
  </si>
  <si>
    <t>Expected production usage based on your Token Math Template.</t>
  </si>
  <si>
    <t>Scaled case</t>
  </si>
  <si>
    <t>Rapid customer growth leading to 3x volume and longer contexts.</t>
  </si>
  <si>
    <t>Stress case</t>
  </si>
  <si>
    <t>Major spike in support tickets and complex escalations; increased retry rates.</t>
  </si>
  <si>
    <t>Optimized case</t>
  </si>
  <si>
    <t>Implementation of prompt caching, batching, and strict token limits.</t>
  </si>
  <si>
    <t>Category</t>
  </si>
  <si>
    <t>Volume &amp; Cadence</t>
  </si>
  <si>
    <t>Volume assumptions are based on a mid-sized B2B Sales CRM processing ~500 leads/day, 2000 support emails, and ~300 meetings. Cadence factors are set to 260 for business-day operations and 365 for calendar-day operations like support.</t>
  </si>
  <si>
    <t>Model Routing</t>
  </si>
  <si>
    <t>We route high-volume triage and data extraction to cost-effective models (Claude Haiku 4.5, GPT-5.4 mini) and reserve frontier models (Claude Opus 4.7, GPT-5.5) exclusively for complex deal escalations and quality assurance.</t>
  </si>
  <si>
    <t>Context Size &amp; Retries</t>
  </si>
  <si>
    <t>Input context sizes range from 1,000 tokens for basic triage to 15,000 tokens for deep deal analysis. Retry rates (5-15%) and QA multipliers (1.0x-1.2x) are applied based on task complexity and risk.</t>
  </si>
  <si>
    <t>Budget Utilization</t>
  </si>
  <si>
    <t>The current design is highly efficient, utilizing a small portion of the $50,000 budget. This leaves significant headroom for scaling, adding more complex agents, or handling unexpected spikes in volume.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</si>
</sst>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
    <numFmt numFmtId="165" formatCode="$0.000"/>
    <numFmt numFmtId="166" formatCode="$#,##0"/>
    <numFmt numFmtId="167" formatCode="$#,##0.00"/>
    <numFmt numFmtId="168" formatCode="0.0%"/>
    <numFmt numFmtId="169" formatCode="#,##0.0"/>
    <numFmt numFmtId="170" formatCode="$#,##0.0000"/>
    <numFmt numFmtId="171" formatCode="0.00x"/>
    <numFmt numFmtId="172" formatCode="$0.0000"/>
  </numFmts>
  <fonts count="8">
    <font>
      <sz val="11.0"/>
      <color theme="1"/>
      <name val="Calibri"/>
      <scheme val="minor"/>
    </font>
    <font>
      <b/>
      <sz val="16.0"/>
      <color rgb="FFFFFFFF"/>
      <name val="Carlito"/>
    </font>
    <font>
      <sz val="11.0"/>
      <color theme="1"/>
      <name val="Calibri"/>
    </font>
    <font>
      <b/>
      <sz val="11.0"/>
      <color rgb="FF1F2937"/>
      <name val="Carlito"/>
    </font>
    <font>
      <sz val="11.0"/>
      <color theme="1"/>
      <name val="Carlito"/>
    </font>
    <font>
      <b/>
      <sz val="11.0"/>
      <color rgb="FFFFFFFF"/>
      <name val="Carlito"/>
    </font>
    <font>
      <b/>
      <color theme="1"/>
      <name val="Calibri"/>
      <scheme val="minor"/>
    </font>
    <font>
      <color theme="1"/>
      <name val="Calibri"/>
      <scheme val="minor"/>
    </font>
  </fonts>
  <fills count="13">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1F4E79"/>
        <bgColor rgb="FF1F4E79"/>
      </patternFill>
    </fill>
    <fill>
      <patternFill patternType="solid">
        <fgColor rgb="FF0F766E"/>
        <bgColor rgb="FF0F766E"/>
      </patternFill>
    </fill>
    <fill>
      <patternFill patternType="solid">
        <fgColor rgb="FF4F81BD"/>
        <bgColor rgb="FF4F81BD"/>
      </patternFill>
    </fill>
    <fill>
      <patternFill patternType="solid">
        <fgColor rgb="FF156082"/>
        <bgColor rgb="FF156082"/>
      </patternFill>
    </fill>
    <fill>
      <patternFill patternType="solid">
        <fgColor rgb="FFDBE5F1"/>
        <bgColor rgb="FFDBE5F1"/>
      </patternFill>
    </fill>
    <fill>
      <patternFill patternType="solid">
        <fgColor rgb="FFC1E4F5"/>
        <bgColor rgb="FFC1E4F5"/>
      </patternFill>
    </fill>
    <fill>
      <patternFill patternType="solid">
        <fgColor rgb="FFFFFFFF"/>
        <bgColor rgb="FFFFFFFF"/>
      </patternFill>
    </fill>
    <fill>
      <patternFill patternType="solid">
        <fgColor rgb="FFE2F0D9"/>
        <bgColor rgb="FFE2F0D9"/>
      </patternFill>
    </fill>
    <fill>
      <patternFill patternType="solid">
        <fgColor theme="0"/>
        <bgColor theme="0"/>
      </patternFill>
    </fill>
  </fills>
  <borders count="1">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0" xfId="0" applyAlignment="1" applyFont="1">
      <alignment vertical="bottom"/>
    </xf>
    <xf borderId="0" fillId="0" fontId="2" numFmtId="0" xfId="0" applyAlignment="1" applyFont="1">
      <alignment vertical="bottom"/>
    </xf>
    <xf borderId="0" fillId="3" fontId="3" numFmtId="0" xfId="0" applyAlignment="1" applyFill="1" applyFont="1">
      <alignment horizontal="center" shrinkToFit="0" vertical="bottom" wrapText="1"/>
    </xf>
    <xf borderId="0" fillId="0" fontId="4" numFmtId="0" xfId="0" applyAlignment="1" applyFont="1">
      <alignment shrinkToFit="0" vertical="bottom" wrapText="1"/>
    </xf>
    <xf borderId="0" fillId="4" fontId="5" numFmtId="0" xfId="0" applyAlignment="1" applyFill="1" applyFont="1">
      <alignment shrinkToFit="0" vertical="bottom" wrapText="1"/>
    </xf>
    <xf borderId="0" fillId="5" fontId="5" numFmtId="0" xfId="0" applyAlignment="1" applyFill="1" applyFont="1">
      <alignment horizontal="center" shrinkToFit="0" vertical="bottom" wrapText="1"/>
    </xf>
    <xf borderId="0" fillId="0" fontId="4" numFmtId="0" xfId="0" applyAlignment="1" applyFont="1">
      <alignment shrinkToFit="0" vertical="bottom" wrapText="1"/>
    </xf>
    <xf borderId="0" fillId="4" fontId="5" numFmtId="0" xfId="0" applyAlignment="1" applyFont="1">
      <alignment shrinkToFit="0" vertical="bottom" wrapText="1"/>
    </xf>
    <xf borderId="0" fillId="3" fontId="3" numFmtId="0" xfId="0" applyAlignment="1" applyFont="1">
      <alignment horizontal="center" shrinkToFit="0" vertical="bottom" wrapText="1"/>
    </xf>
    <xf borderId="0" fillId="2" fontId="1" numFmtId="0" xfId="0" applyAlignment="1" applyFont="1">
      <alignment vertical="bottom"/>
    </xf>
    <xf borderId="0" fillId="6" fontId="5" numFmtId="0" xfId="0" applyAlignment="1" applyFill="1" applyFont="1">
      <alignment horizontal="center" shrinkToFit="0" vertical="bottom" wrapText="1"/>
    </xf>
    <xf borderId="0" fillId="7" fontId="5" numFmtId="0" xfId="0" applyAlignment="1" applyFill="1" applyFont="1">
      <alignment horizontal="center" shrinkToFit="0" vertical="bottom" wrapText="1"/>
    </xf>
    <xf borderId="0" fillId="8" fontId="4" numFmtId="0" xfId="0" applyAlignment="1" applyFill="1" applyFont="1">
      <alignment shrinkToFit="0" vertical="bottom" wrapText="1"/>
    </xf>
    <xf borderId="0" fillId="8" fontId="4" numFmtId="164" xfId="0" applyAlignment="1" applyFont="1" applyNumberFormat="1">
      <alignment shrinkToFit="0" vertical="bottom" wrapText="1"/>
    </xf>
    <xf borderId="0" fillId="8" fontId="4" numFmtId="165" xfId="0" applyAlignment="1" applyFont="1" applyNumberFormat="1">
      <alignment horizontal="right" shrinkToFit="0" vertical="bottom" wrapText="1"/>
    </xf>
    <xf borderId="0" fillId="9" fontId="4" numFmtId="165" xfId="0" applyAlignment="1" applyFill="1" applyFont="1" applyNumberFormat="1">
      <alignment horizontal="right" shrinkToFit="0" vertical="bottom" wrapText="1"/>
    </xf>
    <xf borderId="0" fillId="9" fontId="4" numFmtId="0" xfId="0" applyAlignment="1" applyFont="1">
      <alignment shrinkToFit="0" vertical="bottom" wrapText="1"/>
    </xf>
    <xf borderId="0" fillId="9" fontId="2" numFmtId="0" xfId="0" applyAlignment="1" applyFont="1">
      <alignment vertical="bottom"/>
    </xf>
    <xf borderId="0" fillId="10" fontId="4" numFmtId="0" xfId="0" applyAlignment="1" applyFill="1" applyFont="1">
      <alignment shrinkToFit="0" vertical="bottom" wrapText="1"/>
    </xf>
    <xf borderId="0" fillId="10" fontId="4" numFmtId="164" xfId="0" applyAlignment="1" applyFont="1" applyNumberFormat="1">
      <alignment shrinkToFit="0" vertical="bottom" wrapText="1"/>
    </xf>
    <xf borderId="0" fillId="10" fontId="4" numFmtId="165" xfId="0" applyAlignment="1" applyFont="1" applyNumberFormat="1">
      <alignment horizontal="right" shrinkToFit="0" vertical="bottom" wrapText="1"/>
    </xf>
    <xf borderId="0" fillId="10" fontId="4" numFmtId="165" xfId="0" applyAlignment="1" applyFont="1" applyNumberFormat="1">
      <alignment horizontal="right" shrinkToFit="0" vertical="bottom" wrapText="1"/>
    </xf>
    <xf borderId="0" fillId="10" fontId="4" numFmtId="0" xfId="0" applyAlignment="1" applyFont="1">
      <alignment shrinkToFit="0" vertical="bottom" wrapText="1"/>
    </xf>
    <xf borderId="0" fillId="10" fontId="2" numFmtId="0" xfId="0" applyAlignment="1" applyFont="1">
      <alignment vertical="bottom"/>
    </xf>
    <xf borderId="0" fillId="4" fontId="5" numFmtId="0" xfId="0" applyAlignment="1" applyFont="1">
      <alignment vertical="bottom"/>
    </xf>
    <xf borderId="0" fillId="2" fontId="1" numFmtId="0" xfId="0" applyAlignment="1" applyFont="1">
      <alignment vertical="bottom"/>
    </xf>
    <xf borderId="0" fillId="6" fontId="5" numFmtId="0" xfId="0" applyAlignment="1" applyFont="1">
      <alignment horizontal="center" shrinkToFit="0" vertical="bottom" wrapText="1"/>
    </xf>
    <xf borderId="0" fillId="9" fontId="4" numFmtId="0" xfId="0" applyAlignment="1" applyFont="1">
      <alignment shrinkToFit="0" vertical="bottom" wrapText="1"/>
    </xf>
    <xf borderId="0" fillId="9" fontId="4" numFmtId="1" xfId="0" applyAlignment="1" applyFont="1" applyNumberFormat="1">
      <alignment horizontal="right" shrinkToFit="0" vertical="bottom" wrapText="1"/>
    </xf>
    <xf borderId="0" fillId="9" fontId="2" numFmtId="0" xfId="0" applyAlignment="1" applyFont="1">
      <alignment vertical="bottom"/>
    </xf>
    <xf borderId="0" fillId="10" fontId="4" numFmtId="0" xfId="0" applyAlignment="1" applyFont="1">
      <alignment shrinkToFit="0" vertical="bottom" wrapText="1"/>
    </xf>
    <xf borderId="0" fillId="10" fontId="4" numFmtId="1" xfId="0" applyAlignment="1" applyFont="1" applyNumberFormat="1">
      <alignment horizontal="right" shrinkToFit="0" vertical="bottom" wrapText="1"/>
    </xf>
    <xf borderId="0" fillId="10" fontId="2" numFmtId="0" xfId="0" applyAlignment="1" applyFont="1">
      <alignment vertical="bottom"/>
    </xf>
    <xf borderId="0" fillId="10" fontId="2" numFmtId="1" xfId="0" applyAlignment="1" applyFont="1" applyNumberFormat="1">
      <alignment vertical="bottom"/>
    </xf>
    <xf borderId="0" fillId="0" fontId="2" numFmtId="0" xfId="0" applyAlignment="1" applyFont="1">
      <alignment shrinkToFit="0" vertical="bottom" wrapText="1"/>
    </xf>
    <xf borderId="0" fillId="11" fontId="4" numFmtId="166" xfId="0" applyAlignment="1" applyFill="1" applyFont="1" applyNumberFormat="1">
      <alignment horizontal="right" vertical="bottom"/>
    </xf>
    <xf borderId="0" fillId="4" fontId="5" numFmtId="0" xfId="0" applyAlignment="1" applyFont="1">
      <alignment vertical="bottom"/>
    </xf>
    <xf borderId="0" fillId="11" fontId="4" numFmtId="167" xfId="0" applyAlignment="1" applyFont="1" applyNumberFormat="1">
      <alignment horizontal="right" vertical="bottom"/>
    </xf>
    <xf borderId="0" fillId="11" fontId="4" numFmtId="168" xfId="0" applyAlignment="1" applyFont="1" applyNumberFormat="1">
      <alignment horizontal="right" vertical="bottom"/>
    </xf>
    <xf borderId="0" fillId="11" fontId="4" numFmtId="168" xfId="0" applyAlignment="1" applyFont="1" applyNumberFormat="1">
      <alignment shrinkToFit="0" vertical="bottom" wrapText="1"/>
    </xf>
    <xf borderId="0" fillId="11" fontId="4" numFmtId="0" xfId="0" applyAlignment="1" applyFont="1">
      <alignment horizontal="right" vertical="bottom"/>
    </xf>
    <xf borderId="0" fillId="12" fontId="2" numFmtId="0" xfId="0" applyAlignment="1" applyFill="1" applyFont="1">
      <alignment vertical="bottom"/>
    </xf>
    <xf borderId="0" fillId="12" fontId="4" numFmtId="0" xfId="0" applyAlignment="1" applyFont="1">
      <alignment shrinkToFit="0" vertical="bottom" wrapText="1"/>
    </xf>
    <xf borderId="0" fillId="12" fontId="2" numFmtId="0" xfId="0" applyAlignment="1" applyFont="1">
      <alignment vertical="bottom"/>
    </xf>
    <xf borderId="0" fillId="6" fontId="5" numFmtId="0" xfId="0" applyAlignment="1" applyFont="1">
      <alignment horizontal="center" shrinkToFit="0" vertical="bottom" wrapText="1"/>
    </xf>
    <xf borderId="0" fillId="6" fontId="5" numFmtId="169" xfId="0" applyAlignment="1" applyFont="1" applyNumberFormat="1">
      <alignment horizontal="center" shrinkToFit="0" vertical="bottom" wrapText="1"/>
    </xf>
    <xf borderId="0" fillId="6" fontId="5" numFmtId="170" xfId="0" applyAlignment="1" applyFont="1" applyNumberFormat="1">
      <alignment horizontal="center" shrinkToFit="0" vertical="bottom" wrapText="1"/>
    </xf>
    <xf borderId="0" fillId="6" fontId="5" numFmtId="168" xfId="0" applyAlignment="1" applyFont="1" applyNumberFormat="1">
      <alignment horizontal="center" shrinkToFit="0" vertical="bottom" wrapText="1"/>
    </xf>
    <xf borderId="0" fillId="6" fontId="5" numFmtId="2" xfId="0" applyAlignment="1" applyFont="1" applyNumberFormat="1">
      <alignment horizontal="center" shrinkToFit="0" vertical="bottom" wrapText="1"/>
    </xf>
    <xf borderId="0" fillId="9" fontId="4" numFmtId="0" xfId="0" applyAlignment="1" applyFont="1">
      <alignment readingOrder="0" shrinkToFit="0" vertical="bottom" wrapText="1"/>
    </xf>
    <xf borderId="0" fillId="9" fontId="4" numFmtId="3" xfId="0" applyAlignment="1" applyFont="1" applyNumberFormat="1">
      <alignment horizontal="right" readingOrder="0" shrinkToFit="0" vertical="bottom" wrapText="1"/>
    </xf>
    <xf borderId="0" fillId="9" fontId="4" numFmtId="169" xfId="0" applyAlignment="1" applyFont="1" applyNumberFormat="1">
      <alignment readingOrder="0" shrinkToFit="0" vertical="bottom" wrapText="1"/>
    </xf>
    <xf borderId="0" fillId="9" fontId="4" numFmtId="3" xfId="0" applyAlignment="1" applyFont="1" applyNumberFormat="1">
      <alignment horizontal="right" shrinkToFit="0" vertical="bottom" wrapText="1"/>
    </xf>
    <xf borderId="0" fillId="9" fontId="4" numFmtId="170" xfId="0" applyAlignment="1" applyFont="1" applyNumberFormat="1">
      <alignment readingOrder="0" shrinkToFit="0" vertical="bottom" wrapText="1"/>
    </xf>
    <xf borderId="0" fillId="9" fontId="4" numFmtId="165" xfId="0" applyAlignment="1" applyFont="1" applyNumberFormat="1">
      <alignment horizontal="right" shrinkToFit="0" vertical="bottom" wrapText="1"/>
    </xf>
    <xf borderId="0" fillId="9" fontId="4" numFmtId="168" xfId="0" applyAlignment="1" applyFont="1" applyNumberFormat="1">
      <alignment horizontal="right" readingOrder="0" shrinkToFit="0" vertical="bottom" wrapText="1"/>
    </xf>
    <xf borderId="0" fillId="9" fontId="4" numFmtId="171" xfId="0" applyAlignment="1" applyFont="1" applyNumberFormat="1">
      <alignment horizontal="right" readingOrder="0" shrinkToFit="0" vertical="bottom" wrapText="1"/>
    </xf>
    <xf borderId="0" fillId="9" fontId="4" numFmtId="172" xfId="0" applyAlignment="1" applyFont="1" applyNumberFormat="1">
      <alignment horizontal="right" shrinkToFit="0" vertical="bottom" wrapText="1"/>
    </xf>
    <xf borderId="0" fillId="9" fontId="4" numFmtId="167" xfId="0" applyAlignment="1" applyFont="1" applyNumberFormat="1">
      <alignment horizontal="right" shrinkToFit="0" vertical="bottom" wrapText="1"/>
    </xf>
    <xf borderId="0" fillId="9" fontId="2" numFmtId="172" xfId="0" applyAlignment="1" applyFont="1" applyNumberFormat="1">
      <alignment vertical="bottom"/>
    </xf>
    <xf borderId="0" fillId="9" fontId="2" numFmtId="168" xfId="0" applyAlignment="1" applyFont="1" applyNumberFormat="1">
      <alignment vertical="bottom"/>
    </xf>
    <xf borderId="0" fillId="10" fontId="4" numFmtId="0" xfId="0" applyAlignment="1" applyFont="1">
      <alignment readingOrder="0" shrinkToFit="0" vertical="bottom" wrapText="1"/>
    </xf>
    <xf borderId="0" fillId="10" fontId="4" numFmtId="3" xfId="0" applyAlignment="1" applyFont="1" applyNumberFormat="1">
      <alignment horizontal="right" readingOrder="0" shrinkToFit="0" vertical="bottom" wrapText="1"/>
    </xf>
    <xf borderId="0" fillId="10" fontId="4" numFmtId="169" xfId="0" applyAlignment="1" applyFont="1" applyNumberFormat="1">
      <alignment readingOrder="0" shrinkToFit="0" vertical="bottom" wrapText="1"/>
    </xf>
    <xf borderId="0" fillId="10" fontId="4" numFmtId="3" xfId="0" applyAlignment="1" applyFont="1" applyNumberFormat="1">
      <alignment horizontal="right" shrinkToFit="0" vertical="bottom" wrapText="1"/>
    </xf>
    <xf borderId="0" fillId="10" fontId="4" numFmtId="170" xfId="0" applyAlignment="1" applyFont="1" applyNumberFormat="1">
      <alignment readingOrder="0" shrinkToFit="0" vertical="bottom" wrapText="1"/>
    </xf>
    <xf borderId="0" fillId="10" fontId="4" numFmtId="168" xfId="0" applyAlignment="1" applyFont="1" applyNumberFormat="1">
      <alignment horizontal="right" readingOrder="0" shrinkToFit="0" vertical="bottom" wrapText="1"/>
    </xf>
    <xf borderId="0" fillId="10" fontId="4" numFmtId="171" xfId="0" applyAlignment="1" applyFont="1" applyNumberFormat="1">
      <alignment horizontal="right" readingOrder="0" shrinkToFit="0" vertical="bottom" wrapText="1"/>
    </xf>
    <xf borderId="0" fillId="10" fontId="4" numFmtId="172" xfId="0" applyAlignment="1" applyFont="1" applyNumberFormat="1">
      <alignment horizontal="right" shrinkToFit="0" vertical="bottom" wrapText="1"/>
    </xf>
    <xf borderId="0" fillId="10" fontId="4" numFmtId="167" xfId="0" applyAlignment="1" applyFont="1" applyNumberFormat="1">
      <alignment horizontal="right" shrinkToFit="0" vertical="bottom" wrapText="1"/>
    </xf>
    <xf borderId="0" fillId="10" fontId="2" numFmtId="172" xfId="0" applyAlignment="1" applyFont="1" applyNumberFormat="1">
      <alignment vertical="bottom"/>
    </xf>
    <xf borderId="0" fillId="10" fontId="2" numFmtId="168" xfId="0" applyAlignment="1" applyFont="1" applyNumberFormat="1">
      <alignment vertical="bottom"/>
    </xf>
    <xf borderId="0" fillId="10" fontId="2" numFmtId="0" xfId="0" applyAlignment="1" applyFont="1">
      <alignment readingOrder="0" vertical="bottom"/>
    </xf>
    <xf borderId="0" fillId="10" fontId="2" numFmtId="3" xfId="0" applyAlignment="1" applyFont="1" applyNumberFormat="1">
      <alignment readingOrder="0" vertical="bottom"/>
    </xf>
    <xf borderId="0" fillId="10" fontId="2" numFmtId="169" xfId="0" applyAlignment="1" applyFont="1" applyNumberFormat="1">
      <alignment readingOrder="0" vertical="bottom"/>
    </xf>
    <xf borderId="0" fillId="10" fontId="2" numFmtId="3" xfId="0" applyAlignment="1" applyFont="1" applyNumberFormat="1">
      <alignment vertical="bottom"/>
    </xf>
    <xf borderId="0" fillId="10" fontId="2" numFmtId="170" xfId="0" applyAlignment="1" applyFont="1" applyNumberFormat="1">
      <alignment readingOrder="0" vertical="bottom"/>
    </xf>
    <xf borderId="0" fillId="10" fontId="2" numFmtId="165" xfId="0" applyAlignment="1" applyFont="1" applyNumberFormat="1">
      <alignment vertical="bottom"/>
    </xf>
    <xf borderId="0" fillId="10" fontId="2" numFmtId="168" xfId="0" applyAlignment="1" applyFont="1" applyNumberFormat="1">
      <alignment readingOrder="0" vertical="bottom"/>
    </xf>
    <xf borderId="0" fillId="10" fontId="2" numFmtId="171" xfId="0" applyAlignment="1" applyFont="1" applyNumberFormat="1">
      <alignment readingOrder="0" vertical="bottom"/>
    </xf>
    <xf borderId="0" fillId="10" fontId="2" numFmtId="167" xfId="0" applyAlignment="1" applyFont="1" applyNumberFormat="1">
      <alignment vertical="bottom"/>
    </xf>
    <xf borderId="0" fillId="9" fontId="2" numFmtId="0" xfId="0" applyAlignment="1" applyFont="1">
      <alignment readingOrder="0" vertical="bottom"/>
    </xf>
    <xf borderId="0" fillId="9" fontId="2" numFmtId="3" xfId="0" applyAlignment="1" applyFont="1" applyNumberFormat="1">
      <alignment readingOrder="0" vertical="bottom"/>
    </xf>
    <xf borderId="0" fillId="9" fontId="2" numFmtId="169" xfId="0" applyAlignment="1" applyFont="1" applyNumberFormat="1">
      <alignment readingOrder="0" vertical="bottom"/>
    </xf>
    <xf borderId="0" fillId="9" fontId="2" numFmtId="3" xfId="0" applyAlignment="1" applyFont="1" applyNumberFormat="1">
      <alignment vertical="bottom"/>
    </xf>
    <xf borderId="0" fillId="9" fontId="2" numFmtId="170" xfId="0" applyAlignment="1" applyFont="1" applyNumberFormat="1">
      <alignment readingOrder="0" vertical="bottom"/>
    </xf>
    <xf borderId="0" fillId="9" fontId="2" numFmtId="165" xfId="0" applyAlignment="1" applyFont="1" applyNumberFormat="1">
      <alignment vertical="bottom"/>
    </xf>
    <xf borderId="0" fillId="9" fontId="2" numFmtId="168" xfId="0" applyAlignment="1" applyFont="1" applyNumberFormat="1">
      <alignment readingOrder="0" vertical="bottom"/>
    </xf>
    <xf borderId="0" fillId="9" fontId="2" numFmtId="171" xfId="0" applyAlignment="1" applyFont="1" applyNumberFormat="1">
      <alignment readingOrder="0" vertical="bottom"/>
    </xf>
    <xf borderId="0" fillId="9" fontId="2" numFmtId="167" xfId="0" applyAlignment="1" applyFont="1" applyNumberFormat="1">
      <alignment vertical="bottom"/>
    </xf>
    <xf borderId="0" fillId="10" fontId="2" numFmtId="0" xfId="0" applyAlignment="1" applyFont="1">
      <alignment vertical="bottom"/>
    </xf>
    <xf borderId="0" fillId="10" fontId="2" numFmtId="169" xfId="0" applyAlignment="1" applyFont="1" applyNumberFormat="1">
      <alignment vertical="bottom"/>
    </xf>
    <xf borderId="0" fillId="10" fontId="2" numFmtId="170" xfId="0" applyAlignment="1" applyFont="1" applyNumberFormat="1">
      <alignment vertical="bottom"/>
    </xf>
    <xf borderId="0" fillId="10" fontId="2" numFmtId="171" xfId="0" applyAlignment="1" applyFont="1" applyNumberFormat="1">
      <alignment vertical="bottom"/>
    </xf>
    <xf borderId="0" fillId="9" fontId="2" numFmtId="0" xfId="0" applyAlignment="1" applyFont="1">
      <alignment vertical="bottom"/>
    </xf>
    <xf borderId="0" fillId="9" fontId="2" numFmtId="169" xfId="0" applyAlignment="1" applyFont="1" applyNumberFormat="1">
      <alignment vertical="bottom"/>
    </xf>
    <xf borderId="0" fillId="9" fontId="2" numFmtId="170" xfId="0" applyAlignment="1" applyFont="1" applyNumberFormat="1">
      <alignment vertical="bottom"/>
    </xf>
    <xf borderId="0" fillId="9" fontId="2" numFmtId="171" xfId="0" applyAlignment="1" applyFont="1" applyNumberFormat="1">
      <alignment vertical="bottom"/>
    </xf>
    <xf borderId="0" fillId="0" fontId="2" numFmtId="169" xfId="0" applyAlignment="1" applyFont="1" applyNumberFormat="1">
      <alignment vertical="bottom"/>
    </xf>
    <xf borderId="0" fillId="0" fontId="2" numFmtId="170" xfId="0" applyAlignment="1" applyFont="1" applyNumberFormat="1">
      <alignment vertical="bottom"/>
    </xf>
    <xf borderId="0" fillId="0" fontId="2" numFmtId="168" xfId="0" applyAlignment="1" applyFont="1" applyNumberFormat="1">
      <alignment vertical="bottom"/>
    </xf>
    <xf borderId="0" fillId="0" fontId="2" numFmtId="2" xfId="0" applyAlignment="1" applyFont="1" applyNumberFormat="1">
      <alignment vertical="bottom"/>
    </xf>
    <xf borderId="0" fillId="9" fontId="4" numFmtId="171" xfId="0" applyAlignment="1" applyFont="1" applyNumberFormat="1">
      <alignment horizontal="right" shrinkToFit="0" vertical="bottom" wrapText="1"/>
    </xf>
    <xf borderId="0" fillId="9" fontId="4" numFmtId="168" xfId="0" applyAlignment="1" applyFont="1" applyNumberFormat="1">
      <alignment horizontal="right" shrinkToFit="0" vertical="bottom" wrapText="1"/>
    </xf>
    <xf borderId="0" fillId="0" fontId="6" numFmtId="0" xfId="0" applyAlignment="1" applyFont="1">
      <alignment readingOrder="0"/>
    </xf>
    <xf borderId="0" fillId="0" fontId="7" numFmtId="0" xfId="0" applyAlignment="1" applyFont="1">
      <alignment readingOrder="0"/>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font/>
      <fill>
        <patternFill patternType="solid">
          <fgColor rgb="FFC1E4F5"/>
          <bgColor rgb="FFC1E4F5"/>
        </patternFill>
      </fill>
      <border/>
    </dxf>
    <dxf>
      <font/>
      <fill>
        <patternFill patternType="solid">
          <fgColor rgb="FFF4CCCC"/>
          <bgColor rgb="FFF4CCCC"/>
        </patternFill>
      </fill>
      <border/>
    </dxf>
  </dxfs>
  <tableStyles count="4">
    <tableStyle count="3" pivot="0" name="Pricing Reference-style">
      <tableStyleElement dxfId="1" type="headerRow"/>
      <tableStyleElement dxfId="2" type="firstRowStripe"/>
      <tableStyleElement dxfId="3" type="secondRowStripe"/>
    </tableStyle>
    <tableStyle count="3" pivot="0" name="Cadence Reference-style">
      <tableStyleElement dxfId="1" type="headerRow"/>
      <tableStyleElement dxfId="4" type="firstRowStripe"/>
      <tableStyleElement dxfId="3" type="secondRowStripe"/>
    </tableStyle>
    <tableStyle count="3" pivot="0" name="Token Math Template-style">
      <tableStyleElement dxfId="1" type="headerRow"/>
      <tableStyleElement dxfId="2" type="firstRowStripe"/>
      <tableStyleElement dxfId="3" type="secondRowStripe"/>
    </tableStyle>
    <tableStyle count="3" pivot="0" name="Scenario Analysis-style">
      <tableStyleElement dxfId="1" type="headerRow"/>
      <tableStyleElement dxfId="4"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8" displayName="Table_1" name="Table_1" id="1">
  <tableColumns count="5">
    <tableColumn name="Provider" id="1"/>
    <tableColumn name="Model" id="2"/>
    <tableColumn name="Intended use guidance" id="3"/>
    <tableColumn name="Input $/1M" id="4"/>
    <tableColumn name="Output $/1M" id="5"/>
  </tableColumns>
  <tableStyleInfo name="Pricing Reference-style" showColumnStripes="0" showFirstColumn="1" showLastColumn="1" showRowStripes="1"/>
</table>
</file>

<file path=xl/tables/table2.xml><?xml version="1.0" encoding="utf-8"?>
<table xmlns="http://schemas.openxmlformats.org/spreadsheetml/2006/main" ref="A4:D12" displayName="Table_2" name="Table_2" id="2">
  <tableColumns count="4">
    <tableColumn name="Cadence" id="1"/>
    <tableColumn name="Annualization factor" id="2"/>
    <tableColumn name="Use when" id="3"/>
    <tableColumn name="Candidate notes" id="4"/>
  </tableColumns>
  <tableStyleInfo name="Cadence Reference-style" showColumnStripes="0" showFirstColumn="1" showLastColumn="1" showRowStripes="1"/>
</table>
</file>

<file path=xl/tables/table3.xml><?xml version="1.0" encoding="utf-8"?>
<table xmlns="http://schemas.openxmlformats.org/spreadsheetml/2006/main" headerRowCount="0" ref="A11:O91"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Token Math Templat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4:H8" displayName="Table_4" name="Table_4" id="4">
  <tableColumns count="8">
    <tableColumn name="Scenario" id="1"/>
    <tableColumn name="Volume multiplier" id="2"/>
    <tableColumn name="Token-size multiplier" id="3"/>
    <tableColumn name="Model price multiplier" id="4"/>
    <tableColumn name="QA/retry multiplier" id="5"/>
    <tableColumn name="Estimated annual cost" id="6"/>
    <tableColumn name="Budget utilization" id="7"/>
    <tableColumn name="Rationale" id="8"/>
  </tableColumns>
  <tableStyleInfo name="Scenario Analys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110.0"/>
    <col customWidth="1" min="3" max="26" width="8.71"/>
  </cols>
  <sheetData>
    <row r="1" ht="21.75" customHeight="1">
      <c r="A1" s="1" t="s">
        <v>0</v>
      </c>
      <c r="I1" s="2"/>
      <c r="J1" s="2"/>
      <c r="K1" s="2"/>
      <c r="L1" s="2"/>
      <c r="M1" s="2"/>
      <c r="N1" s="2"/>
      <c r="O1" s="2"/>
      <c r="P1" s="2"/>
      <c r="Q1" s="2"/>
      <c r="R1" s="2"/>
      <c r="S1" s="2"/>
      <c r="T1" s="2"/>
      <c r="U1" s="2"/>
      <c r="V1" s="2"/>
      <c r="W1" s="2"/>
      <c r="X1" s="2"/>
      <c r="Y1" s="2"/>
      <c r="Z1" s="2"/>
    </row>
    <row r="2" ht="21.75" customHeight="1">
      <c r="A2" s="3"/>
      <c r="B2" s="3"/>
      <c r="C2" s="2"/>
      <c r="D2" s="2"/>
      <c r="E2" s="2"/>
      <c r="F2" s="2"/>
      <c r="G2" s="2"/>
      <c r="H2" s="2"/>
      <c r="I2" s="2"/>
      <c r="J2" s="2"/>
      <c r="K2" s="2"/>
      <c r="L2" s="2"/>
      <c r="M2" s="2"/>
      <c r="N2" s="2"/>
      <c r="O2" s="2"/>
      <c r="P2" s="2"/>
      <c r="Q2" s="2"/>
      <c r="R2" s="2"/>
      <c r="S2" s="2"/>
      <c r="T2" s="2"/>
      <c r="U2" s="2"/>
      <c r="V2" s="2"/>
      <c r="W2" s="2"/>
      <c r="X2" s="2"/>
      <c r="Y2" s="2"/>
      <c r="Z2" s="2"/>
    </row>
    <row r="3">
      <c r="A3" s="4" t="s">
        <v>1</v>
      </c>
      <c r="B3" s="5" t="s">
        <v>2</v>
      </c>
      <c r="C3" s="2"/>
      <c r="D3" s="2"/>
      <c r="E3" s="2"/>
      <c r="F3" s="2"/>
      <c r="G3" s="2"/>
      <c r="H3" s="2"/>
      <c r="I3" s="2"/>
      <c r="J3" s="2"/>
      <c r="K3" s="2"/>
      <c r="L3" s="2"/>
      <c r="M3" s="2"/>
      <c r="N3" s="2"/>
      <c r="O3" s="2"/>
      <c r="P3" s="2"/>
      <c r="Q3" s="2"/>
      <c r="R3" s="2"/>
      <c r="S3" s="2"/>
      <c r="T3" s="2"/>
      <c r="U3" s="2"/>
      <c r="V3" s="2"/>
      <c r="W3" s="2"/>
      <c r="X3" s="2"/>
      <c r="Y3" s="2"/>
      <c r="Z3" s="2"/>
    </row>
    <row r="4">
      <c r="A4" s="4" t="s">
        <v>3</v>
      </c>
      <c r="B4" s="5" t="s">
        <v>4</v>
      </c>
      <c r="C4" s="2"/>
      <c r="D4" s="2"/>
      <c r="E4" s="2"/>
      <c r="F4" s="2"/>
      <c r="G4" s="2"/>
      <c r="H4" s="2"/>
      <c r="I4" s="2"/>
      <c r="J4" s="2"/>
      <c r="K4" s="2"/>
      <c r="L4" s="2"/>
      <c r="M4" s="2"/>
      <c r="N4" s="2"/>
      <c r="O4" s="2"/>
      <c r="P4" s="2"/>
      <c r="Q4" s="2"/>
      <c r="R4" s="2"/>
      <c r="S4" s="2"/>
      <c r="T4" s="2"/>
      <c r="U4" s="2"/>
      <c r="V4" s="2"/>
      <c r="W4" s="2"/>
      <c r="X4" s="2"/>
      <c r="Y4" s="2"/>
      <c r="Z4" s="2"/>
    </row>
    <row r="5">
      <c r="A5" s="4" t="s">
        <v>5</v>
      </c>
      <c r="B5" s="5" t="s">
        <v>6</v>
      </c>
      <c r="C5" s="2"/>
      <c r="D5" s="2"/>
      <c r="E5" s="2"/>
      <c r="F5" s="2"/>
      <c r="G5" s="2"/>
      <c r="H5" s="2"/>
      <c r="I5" s="2"/>
      <c r="J5" s="2"/>
      <c r="K5" s="2"/>
      <c r="L5" s="2"/>
      <c r="M5" s="2"/>
      <c r="N5" s="2"/>
      <c r="O5" s="2"/>
      <c r="P5" s="2"/>
      <c r="Q5" s="2"/>
      <c r="R5" s="2"/>
      <c r="S5" s="2"/>
      <c r="T5" s="2"/>
      <c r="U5" s="2"/>
      <c r="V5" s="2"/>
      <c r="W5" s="2"/>
      <c r="X5" s="2"/>
      <c r="Y5" s="2"/>
      <c r="Z5" s="2"/>
    </row>
    <row r="6">
      <c r="A6" s="4" t="s">
        <v>7</v>
      </c>
      <c r="B6" s="5" t="s">
        <v>8</v>
      </c>
      <c r="C6" s="2"/>
      <c r="D6" s="2"/>
      <c r="E6" s="2"/>
      <c r="F6" s="2"/>
      <c r="G6" s="2"/>
      <c r="H6" s="2"/>
      <c r="I6" s="2"/>
      <c r="J6" s="2"/>
      <c r="K6" s="2"/>
      <c r="L6" s="2"/>
      <c r="M6" s="2"/>
      <c r="N6" s="2"/>
      <c r="O6" s="2"/>
      <c r="P6" s="2"/>
      <c r="Q6" s="2"/>
      <c r="R6" s="2"/>
      <c r="S6" s="2"/>
      <c r="T6" s="2"/>
      <c r="U6" s="2"/>
      <c r="V6" s="2"/>
      <c r="W6" s="2"/>
      <c r="X6" s="2"/>
      <c r="Y6" s="2"/>
      <c r="Z6" s="2"/>
    </row>
    <row r="7">
      <c r="A7" s="4" t="s">
        <v>9</v>
      </c>
      <c r="B7" s="5" t="s">
        <v>10</v>
      </c>
      <c r="C7" s="2"/>
      <c r="D7" s="2"/>
      <c r="E7" s="2"/>
      <c r="F7" s="2"/>
      <c r="G7" s="2"/>
      <c r="H7" s="2"/>
      <c r="I7" s="2"/>
      <c r="J7" s="2"/>
      <c r="K7" s="2"/>
      <c r="L7" s="2"/>
      <c r="M7" s="2"/>
      <c r="N7" s="2"/>
      <c r="O7" s="2"/>
      <c r="P7" s="2"/>
      <c r="Q7" s="2"/>
      <c r="R7" s="2"/>
      <c r="S7" s="2"/>
      <c r="T7" s="2"/>
      <c r="U7" s="2"/>
      <c r="V7" s="2"/>
      <c r="W7" s="2"/>
      <c r="X7" s="2"/>
      <c r="Y7" s="2"/>
      <c r="Z7" s="2"/>
    </row>
    <row r="8">
      <c r="A8" s="4" t="s">
        <v>11</v>
      </c>
      <c r="B8" s="5" t="s">
        <v>12</v>
      </c>
      <c r="C8" s="2"/>
      <c r="D8" s="2"/>
      <c r="E8" s="2"/>
      <c r="F8" s="2"/>
      <c r="G8" s="2"/>
      <c r="H8" s="2"/>
      <c r="I8" s="2"/>
      <c r="J8" s="2"/>
      <c r="K8" s="2"/>
      <c r="L8" s="2"/>
      <c r="M8" s="2"/>
      <c r="N8" s="2"/>
      <c r="O8" s="2"/>
      <c r="P8" s="2"/>
      <c r="Q8" s="2"/>
      <c r="R8" s="2"/>
      <c r="S8" s="2"/>
      <c r="T8" s="2"/>
      <c r="U8" s="2"/>
      <c r="V8" s="2"/>
      <c r="W8" s="2"/>
      <c r="X8" s="2"/>
      <c r="Y8" s="2"/>
      <c r="Z8" s="2"/>
    </row>
    <row r="9" ht="21.75" customHeight="1">
      <c r="A9" s="3"/>
      <c r="B9" s="3"/>
      <c r="C9" s="2"/>
      <c r="D9" s="2"/>
      <c r="E9" s="2"/>
      <c r="F9" s="2"/>
      <c r="G9" s="2"/>
      <c r="H9" s="2"/>
      <c r="I9" s="2"/>
      <c r="J9" s="2"/>
      <c r="K9" s="2"/>
      <c r="L9" s="2"/>
      <c r="M9" s="2"/>
      <c r="N9" s="2"/>
      <c r="O9" s="2"/>
      <c r="P9" s="2"/>
      <c r="Q9" s="2"/>
      <c r="R9" s="2"/>
      <c r="S9" s="2"/>
      <c r="T9" s="2"/>
      <c r="U9" s="2"/>
      <c r="V9" s="2"/>
      <c r="W9" s="2"/>
      <c r="X9" s="2"/>
      <c r="Y9" s="2"/>
      <c r="Z9" s="2"/>
    </row>
    <row r="10" ht="21.75" customHeight="1">
      <c r="A10" s="6" t="s">
        <v>13</v>
      </c>
      <c r="I10" s="2"/>
      <c r="J10" s="2"/>
      <c r="K10" s="2"/>
      <c r="L10" s="2"/>
      <c r="M10" s="2"/>
      <c r="N10" s="2"/>
      <c r="O10" s="2"/>
      <c r="P10" s="2"/>
      <c r="Q10" s="2"/>
      <c r="R10" s="2"/>
      <c r="S10" s="2"/>
      <c r="T10" s="2"/>
      <c r="U10" s="2"/>
      <c r="V10" s="2"/>
      <c r="W10" s="2"/>
      <c r="X10" s="2"/>
      <c r="Y10" s="2"/>
      <c r="Z10" s="2"/>
    </row>
    <row r="11" ht="21.75" customHeight="1">
      <c r="A11" s="7" t="s">
        <v>14</v>
      </c>
      <c r="B11" s="7" t="s">
        <v>15</v>
      </c>
      <c r="C11" s="2"/>
      <c r="D11" s="2"/>
      <c r="E11" s="2"/>
      <c r="F11" s="2"/>
      <c r="G11" s="2"/>
      <c r="H11" s="2"/>
      <c r="I11" s="2"/>
      <c r="J11" s="2"/>
      <c r="K11" s="2"/>
      <c r="L11" s="2"/>
      <c r="M11" s="2"/>
      <c r="N11" s="2"/>
      <c r="O11" s="2"/>
      <c r="P11" s="2"/>
      <c r="Q11" s="2"/>
      <c r="R11" s="2"/>
      <c r="S11" s="2"/>
      <c r="T11" s="2"/>
      <c r="U11" s="2"/>
      <c r="V11" s="2"/>
      <c r="W11" s="2"/>
      <c r="X11" s="2"/>
      <c r="Y11" s="2"/>
      <c r="Z11" s="2"/>
    </row>
    <row r="12" ht="21.75" customHeight="1">
      <c r="A12" s="5" t="s">
        <v>16</v>
      </c>
      <c r="B12" s="5" t="s">
        <v>17</v>
      </c>
      <c r="C12" s="2"/>
      <c r="D12" s="2"/>
      <c r="E12" s="2"/>
      <c r="F12" s="2"/>
      <c r="G12" s="2"/>
      <c r="H12" s="2"/>
      <c r="I12" s="2"/>
      <c r="J12" s="2"/>
      <c r="K12" s="2"/>
      <c r="L12" s="2"/>
      <c r="M12" s="2"/>
      <c r="N12" s="2"/>
      <c r="O12" s="2"/>
      <c r="P12" s="2"/>
      <c r="Q12" s="2"/>
      <c r="R12" s="2"/>
      <c r="S12" s="2"/>
      <c r="T12" s="2"/>
      <c r="U12" s="2"/>
      <c r="V12" s="2"/>
      <c r="W12" s="2"/>
      <c r="X12" s="2"/>
      <c r="Y12" s="2"/>
      <c r="Z12" s="2"/>
    </row>
    <row r="13" ht="21.75" customHeight="1">
      <c r="A13" s="5" t="s">
        <v>18</v>
      </c>
      <c r="B13" s="5" t="s">
        <v>19</v>
      </c>
      <c r="C13" s="2"/>
      <c r="D13" s="2"/>
      <c r="E13" s="2"/>
      <c r="F13" s="2"/>
      <c r="G13" s="2"/>
      <c r="H13" s="2"/>
      <c r="I13" s="2"/>
      <c r="J13" s="2"/>
      <c r="K13" s="2"/>
      <c r="L13" s="2"/>
      <c r="M13" s="2"/>
      <c r="N13" s="2"/>
      <c r="O13" s="2"/>
      <c r="P13" s="2"/>
      <c r="Q13" s="2"/>
      <c r="R13" s="2"/>
      <c r="S13" s="2"/>
      <c r="T13" s="2"/>
      <c r="U13" s="2"/>
      <c r="V13" s="2"/>
      <c r="W13" s="2"/>
      <c r="X13" s="2"/>
      <c r="Y13" s="2"/>
      <c r="Z13" s="2"/>
    </row>
    <row r="14" ht="21.75" customHeight="1">
      <c r="A14" s="5" t="s">
        <v>9</v>
      </c>
      <c r="B14" s="5" t="s">
        <v>20</v>
      </c>
      <c r="C14" s="2"/>
      <c r="D14" s="2"/>
      <c r="E14" s="2"/>
      <c r="F14" s="2"/>
      <c r="G14" s="2"/>
      <c r="H14" s="2"/>
      <c r="I14" s="2"/>
      <c r="J14" s="2"/>
      <c r="K14" s="2"/>
      <c r="L14" s="2"/>
      <c r="M14" s="2"/>
      <c r="N14" s="2"/>
      <c r="O14" s="2"/>
      <c r="P14" s="2"/>
      <c r="Q14" s="2"/>
      <c r="R14" s="2"/>
      <c r="S14" s="2"/>
      <c r="T14" s="2"/>
      <c r="U14" s="2"/>
      <c r="V14" s="2"/>
      <c r="W14" s="2"/>
      <c r="X14" s="2"/>
      <c r="Y14" s="2"/>
      <c r="Z14" s="2"/>
    </row>
    <row r="15" ht="21.75" customHeight="1">
      <c r="A15" s="5" t="s">
        <v>21</v>
      </c>
      <c r="B15" s="5" t="s">
        <v>22</v>
      </c>
      <c r="C15" s="2"/>
      <c r="D15" s="2"/>
      <c r="E15" s="2"/>
      <c r="F15" s="2"/>
      <c r="G15" s="2"/>
      <c r="H15" s="2"/>
      <c r="I15" s="2"/>
      <c r="J15" s="2"/>
      <c r="K15" s="2"/>
      <c r="L15" s="2"/>
      <c r="M15" s="2"/>
      <c r="N15" s="2"/>
      <c r="O15" s="2"/>
      <c r="P15" s="2"/>
      <c r="Q15" s="2"/>
      <c r="R15" s="2"/>
      <c r="S15" s="2"/>
      <c r="T15" s="2"/>
      <c r="U15" s="2"/>
      <c r="V15" s="2"/>
      <c r="W15" s="2"/>
      <c r="X15" s="2"/>
      <c r="Y15" s="2"/>
      <c r="Z15" s="2"/>
    </row>
    <row r="16" ht="21.75" customHeight="1">
      <c r="A16" s="5" t="s">
        <v>23</v>
      </c>
      <c r="B16" s="5" t="s">
        <v>24</v>
      </c>
      <c r="C16" s="2"/>
      <c r="D16" s="2"/>
      <c r="E16" s="2"/>
      <c r="F16" s="2"/>
      <c r="G16" s="2"/>
      <c r="H16" s="2"/>
      <c r="I16" s="2"/>
      <c r="J16" s="2"/>
      <c r="K16" s="2"/>
      <c r="L16" s="2"/>
      <c r="M16" s="2"/>
      <c r="N16" s="2"/>
      <c r="O16" s="2"/>
      <c r="P16" s="2"/>
      <c r="Q16" s="2"/>
      <c r="R16" s="2"/>
      <c r="S16" s="2"/>
      <c r="T16" s="2"/>
      <c r="U16" s="2"/>
      <c r="V16" s="2"/>
      <c r="W16" s="2"/>
      <c r="X16" s="2"/>
      <c r="Y16" s="2"/>
      <c r="Z16" s="2"/>
    </row>
    <row r="17" ht="21.75" customHeight="1">
      <c r="A17" s="8" t="s">
        <v>25</v>
      </c>
      <c r="B17" s="8" t="s">
        <v>26</v>
      </c>
      <c r="C17" s="2"/>
      <c r="D17" s="2"/>
      <c r="E17" s="2"/>
      <c r="F17" s="2"/>
      <c r="G17" s="2"/>
      <c r="H17" s="2"/>
      <c r="I17" s="2"/>
      <c r="J17" s="2"/>
      <c r="K17" s="2"/>
      <c r="L17" s="2"/>
      <c r="M17" s="2"/>
      <c r="N17" s="2"/>
      <c r="O17" s="2"/>
      <c r="P17" s="2"/>
      <c r="Q17" s="2"/>
      <c r="R17" s="2"/>
      <c r="S17" s="2"/>
      <c r="T17" s="2"/>
      <c r="U17" s="2"/>
      <c r="V17" s="2"/>
      <c r="W17" s="2"/>
      <c r="X17" s="2"/>
      <c r="Y17" s="2"/>
      <c r="Z17" s="2"/>
    </row>
    <row r="18" ht="21.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21.75" customHeight="1">
      <c r="A19" s="9" t="s">
        <v>27</v>
      </c>
      <c r="I19" s="2"/>
      <c r="J19" s="2"/>
      <c r="K19" s="2"/>
      <c r="L19" s="2"/>
      <c r="M19" s="2"/>
      <c r="N19" s="2"/>
      <c r="O19" s="2"/>
      <c r="P19" s="2"/>
      <c r="Q19" s="2"/>
      <c r="R19" s="2"/>
      <c r="S19" s="2"/>
      <c r="T19" s="2"/>
      <c r="U19" s="2"/>
      <c r="V19" s="2"/>
      <c r="W19" s="2"/>
      <c r="X19" s="2"/>
      <c r="Y19" s="2"/>
      <c r="Z19" s="2"/>
    </row>
    <row r="20">
      <c r="A20" s="10" t="s">
        <v>28</v>
      </c>
      <c r="B20" s="8" t="s">
        <v>29</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0" t="s">
        <v>30</v>
      </c>
      <c r="B21" s="8" t="s">
        <v>31</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0" t="s">
        <v>32</v>
      </c>
      <c r="B22" s="8" t="s">
        <v>33</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0" t="s">
        <v>34</v>
      </c>
      <c r="B23" s="8" t="s">
        <v>35</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0" t="s">
        <v>36</v>
      </c>
      <c r="B24" s="8" t="s">
        <v>37</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H1"/>
    <mergeCell ref="A10:H10"/>
    <mergeCell ref="A19:H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44.0"/>
    <col customWidth="1" min="3" max="3" width="18.0"/>
    <col customWidth="1" min="4" max="4" width="19.0"/>
    <col customWidth="1" min="5" max="5" width="35.0"/>
    <col customWidth="1" min="6" max="26" width="8.71"/>
  </cols>
  <sheetData>
    <row r="1">
      <c r="A1" s="11" t="s">
        <v>38</v>
      </c>
      <c r="J1" s="2"/>
      <c r="K1" s="2"/>
      <c r="L1" s="2"/>
      <c r="M1" s="2"/>
      <c r="N1" s="2"/>
      <c r="O1" s="2"/>
      <c r="P1" s="2"/>
      <c r="Q1" s="2"/>
      <c r="R1" s="2"/>
      <c r="S1" s="2"/>
      <c r="T1" s="2"/>
      <c r="U1" s="2"/>
      <c r="V1" s="2"/>
      <c r="W1" s="2"/>
      <c r="X1" s="2"/>
      <c r="Y1" s="2"/>
      <c r="Z1" s="2"/>
    </row>
    <row r="2">
      <c r="A2" s="5" t="s">
        <v>39</v>
      </c>
      <c r="J2" s="2"/>
      <c r="K2" s="2"/>
      <c r="L2" s="2"/>
      <c r="M2" s="2"/>
      <c r="N2" s="2"/>
      <c r="O2" s="2"/>
      <c r="P2" s="2"/>
      <c r="Q2" s="2"/>
      <c r="R2" s="2"/>
      <c r="S2" s="2"/>
      <c r="T2" s="2"/>
      <c r="U2" s="2"/>
      <c r="V2" s="2"/>
      <c r="W2" s="2"/>
      <c r="X2" s="2"/>
      <c r="Y2" s="2"/>
      <c r="Z2" s="2"/>
    </row>
    <row r="3">
      <c r="A3" s="3"/>
      <c r="B3" s="3"/>
      <c r="C3" s="3"/>
      <c r="D3" s="3"/>
      <c r="E3" s="3"/>
      <c r="F3" s="2"/>
      <c r="G3" s="2"/>
      <c r="H3" s="2"/>
      <c r="I3" s="2"/>
      <c r="J3" s="2"/>
      <c r="K3" s="2"/>
      <c r="L3" s="2"/>
      <c r="M3" s="2"/>
      <c r="N3" s="2"/>
      <c r="O3" s="2"/>
      <c r="P3" s="2"/>
      <c r="Q3" s="2"/>
      <c r="R3" s="2"/>
      <c r="S3" s="2"/>
      <c r="T3" s="2"/>
      <c r="U3" s="2"/>
      <c r="V3" s="2"/>
      <c r="W3" s="2"/>
      <c r="X3" s="2"/>
      <c r="Y3" s="2"/>
      <c r="Z3" s="2"/>
    </row>
    <row r="4">
      <c r="A4" s="12" t="s">
        <v>40</v>
      </c>
      <c r="B4" s="12" t="s">
        <v>41</v>
      </c>
      <c r="C4" s="12" t="s">
        <v>42</v>
      </c>
      <c r="D4" s="12" t="s">
        <v>43</v>
      </c>
      <c r="E4" s="12" t="s">
        <v>44</v>
      </c>
      <c r="F4" s="13" t="s">
        <v>45</v>
      </c>
      <c r="G4" s="13" t="s">
        <v>46</v>
      </c>
      <c r="H4" s="13" t="s">
        <v>47</v>
      </c>
      <c r="I4" s="13" t="s">
        <v>48</v>
      </c>
      <c r="J4" s="2"/>
      <c r="K4" s="2"/>
      <c r="L4" s="2"/>
      <c r="M4" s="2"/>
      <c r="N4" s="2"/>
      <c r="O4" s="2"/>
      <c r="P4" s="2"/>
      <c r="Q4" s="2"/>
      <c r="R4" s="2"/>
      <c r="S4" s="2"/>
      <c r="T4" s="2"/>
      <c r="U4" s="2"/>
      <c r="V4" s="2"/>
      <c r="W4" s="2"/>
      <c r="X4" s="2"/>
      <c r="Y4" s="2"/>
      <c r="Z4" s="2"/>
    </row>
    <row r="5">
      <c r="A5" s="14" t="s">
        <v>49</v>
      </c>
      <c r="B5" s="14" t="s">
        <v>50</v>
      </c>
      <c r="C5" s="15" t="s">
        <v>51</v>
      </c>
      <c r="D5" s="16">
        <v>5.0</v>
      </c>
      <c r="E5" s="16">
        <v>30.0</v>
      </c>
      <c r="F5" s="17">
        <v>0.5</v>
      </c>
      <c r="G5" s="18" t="s">
        <v>52</v>
      </c>
      <c r="H5" s="18" t="s">
        <v>53</v>
      </c>
      <c r="I5" s="19"/>
      <c r="J5" s="2"/>
      <c r="K5" s="2"/>
      <c r="L5" s="2"/>
      <c r="M5" s="2"/>
      <c r="N5" s="2"/>
      <c r="O5" s="2"/>
      <c r="P5" s="2"/>
      <c r="Q5" s="2"/>
      <c r="R5" s="2"/>
      <c r="S5" s="2"/>
      <c r="T5" s="2"/>
      <c r="U5" s="2"/>
      <c r="V5" s="2"/>
      <c r="W5" s="2"/>
      <c r="X5" s="2"/>
      <c r="Y5" s="2"/>
      <c r="Z5" s="2"/>
    </row>
    <row r="6">
      <c r="A6" s="20" t="s">
        <v>49</v>
      </c>
      <c r="B6" s="20" t="s">
        <v>54</v>
      </c>
      <c r="C6" s="21" t="s">
        <v>55</v>
      </c>
      <c r="D6" s="22">
        <v>2.5</v>
      </c>
      <c r="E6" s="22">
        <v>15.0</v>
      </c>
      <c r="F6" s="23">
        <v>0.25</v>
      </c>
      <c r="G6" s="24" t="s">
        <v>52</v>
      </c>
      <c r="H6" s="24" t="s">
        <v>53</v>
      </c>
      <c r="I6" s="25"/>
      <c r="J6" s="2"/>
      <c r="K6" s="2"/>
      <c r="L6" s="2"/>
      <c r="M6" s="2"/>
      <c r="N6" s="2"/>
      <c r="O6" s="2"/>
      <c r="P6" s="2"/>
      <c r="Q6" s="2"/>
      <c r="R6" s="2"/>
      <c r="S6" s="2"/>
      <c r="T6" s="2"/>
      <c r="U6" s="2"/>
      <c r="V6" s="2"/>
      <c r="W6" s="2"/>
      <c r="X6" s="2"/>
      <c r="Y6" s="2"/>
      <c r="Z6" s="2"/>
    </row>
    <row r="7">
      <c r="A7" s="14" t="s">
        <v>49</v>
      </c>
      <c r="B7" s="14" t="s">
        <v>56</v>
      </c>
      <c r="C7" s="15" t="s">
        <v>57</v>
      </c>
      <c r="D7" s="16">
        <v>0.75</v>
      </c>
      <c r="E7" s="16">
        <v>4.5</v>
      </c>
      <c r="F7" s="17">
        <v>0.075</v>
      </c>
      <c r="G7" s="18" t="s">
        <v>52</v>
      </c>
      <c r="H7" s="18" t="s">
        <v>53</v>
      </c>
      <c r="I7" s="19"/>
      <c r="J7" s="2"/>
      <c r="K7" s="2"/>
      <c r="L7" s="2"/>
      <c r="M7" s="2"/>
      <c r="N7" s="2"/>
      <c r="O7" s="2"/>
      <c r="P7" s="2"/>
      <c r="Q7" s="2"/>
      <c r="R7" s="2"/>
      <c r="S7" s="2"/>
      <c r="T7" s="2"/>
      <c r="U7" s="2"/>
      <c r="V7" s="2"/>
      <c r="W7" s="2"/>
      <c r="X7" s="2"/>
      <c r="Y7" s="2"/>
      <c r="Z7" s="2"/>
    </row>
    <row r="8">
      <c r="A8" s="20" t="s">
        <v>49</v>
      </c>
      <c r="B8" s="20" t="s">
        <v>58</v>
      </c>
      <c r="C8" s="21" t="s">
        <v>59</v>
      </c>
      <c r="D8" s="22">
        <v>0.02</v>
      </c>
      <c r="E8" s="22">
        <v>0.0</v>
      </c>
      <c r="F8" s="23">
        <v>0.0</v>
      </c>
      <c r="G8" s="24" t="s">
        <v>60</v>
      </c>
      <c r="H8" s="24" t="s">
        <v>53</v>
      </c>
      <c r="I8" s="25"/>
      <c r="J8" s="2"/>
      <c r="K8" s="2"/>
      <c r="L8" s="2"/>
      <c r="M8" s="2"/>
      <c r="N8" s="2"/>
      <c r="O8" s="2"/>
      <c r="P8" s="2"/>
      <c r="Q8" s="2"/>
      <c r="R8" s="2"/>
      <c r="S8" s="2"/>
      <c r="T8" s="2"/>
      <c r="U8" s="2"/>
      <c r="V8" s="2"/>
      <c r="W8" s="2"/>
      <c r="X8" s="2"/>
      <c r="Y8" s="2"/>
      <c r="Z8" s="2"/>
    </row>
    <row r="9">
      <c r="A9" s="18" t="s">
        <v>49</v>
      </c>
      <c r="B9" s="18" t="s">
        <v>61</v>
      </c>
      <c r="C9" s="18" t="s">
        <v>62</v>
      </c>
      <c r="D9" s="17">
        <v>0.13</v>
      </c>
      <c r="E9" s="17">
        <v>0.0</v>
      </c>
      <c r="F9" s="17">
        <v>0.0</v>
      </c>
      <c r="G9" s="18" t="s">
        <v>60</v>
      </c>
      <c r="H9" s="18" t="s">
        <v>53</v>
      </c>
      <c r="I9" s="19"/>
      <c r="J9" s="2"/>
      <c r="K9" s="2"/>
      <c r="L9" s="2"/>
      <c r="M9" s="2"/>
      <c r="N9" s="2"/>
      <c r="O9" s="2"/>
      <c r="P9" s="2"/>
      <c r="Q9" s="2"/>
      <c r="R9" s="2"/>
      <c r="S9" s="2"/>
      <c r="T9" s="2"/>
      <c r="U9" s="2"/>
      <c r="V9" s="2"/>
      <c r="W9" s="2"/>
      <c r="X9" s="2"/>
      <c r="Y9" s="2"/>
      <c r="Z9" s="2"/>
    </row>
    <row r="10">
      <c r="A10" s="24" t="s">
        <v>63</v>
      </c>
      <c r="B10" s="24" t="s">
        <v>64</v>
      </c>
      <c r="C10" s="24" t="s">
        <v>65</v>
      </c>
      <c r="D10" s="23">
        <v>5.0</v>
      </c>
      <c r="E10" s="23">
        <v>25.0</v>
      </c>
      <c r="F10" s="23">
        <v>0.5</v>
      </c>
      <c r="G10" s="24" t="s">
        <v>66</v>
      </c>
      <c r="H10" s="24" t="s">
        <v>53</v>
      </c>
      <c r="I10" s="25"/>
      <c r="J10" s="2"/>
      <c r="K10" s="2"/>
      <c r="L10" s="2"/>
      <c r="M10" s="2"/>
      <c r="N10" s="2"/>
      <c r="O10" s="2"/>
      <c r="P10" s="2"/>
      <c r="Q10" s="2"/>
      <c r="R10" s="2"/>
      <c r="S10" s="2"/>
      <c r="T10" s="2"/>
      <c r="U10" s="2"/>
      <c r="V10" s="2"/>
      <c r="W10" s="2"/>
      <c r="X10" s="2"/>
      <c r="Y10" s="2"/>
      <c r="Z10" s="2"/>
    </row>
    <row r="11">
      <c r="A11" s="18" t="s">
        <v>63</v>
      </c>
      <c r="B11" s="18" t="s">
        <v>67</v>
      </c>
      <c r="C11" s="18" t="s">
        <v>68</v>
      </c>
      <c r="D11" s="17">
        <v>3.0</v>
      </c>
      <c r="E11" s="17">
        <v>15.0</v>
      </c>
      <c r="F11" s="17">
        <v>0.3</v>
      </c>
      <c r="G11" s="18" t="s">
        <v>66</v>
      </c>
      <c r="H11" s="18" t="s">
        <v>53</v>
      </c>
      <c r="I11" s="19"/>
      <c r="J11" s="2"/>
      <c r="K11" s="2"/>
      <c r="L11" s="2"/>
      <c r="M11" s="2"/>
      <c r="N11" s="2"/>
      <c r="O11" s="2"/>
      <c r="P11" s="2"/>
      <c r="Q11" s="2"/>
      <c r="R11" s="2"/>
      <c r="S11" s="2"/>
      <c r="T11" s="2"/>
      <c r="U11" s="2"/>
      <c r="V11" s="2"/>
      <c r="W11" s="2"/>
      <c r="X11" s="2"/>
      <c r="Y11" s="2"/>
      <c r="Z11" s="2"/>
    </row>
    <row r="12">
      <c r="A12" s="24" t="s">
        <v>63</v>
      </c>
      <c r="B12" s="24" t="s">
        <v>69</v>
      </c>
      <c r="C12" s="24" t="s">
        <v>70</v>
      </c>
      <c r="D12" s="23">
        <v>1.0</v>
      </c>
      <c r="E12" s="23">
        <v>5.0</v>
      </c>
      <c r="F12" s="23">
        <v>0.1</v>
      </c>
      <c r="G12" s="24" t="s">
        <v>66</v>
      </c>
      <c r="H12" s="24" t="s">
        <v>53</v>
      </c>
      <c r="I12" s="25"/>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6" t="s">
        <v>71</v>
      </c>
      <c r="J14" s="2"/>
      <c r="K14" s="2"/>
      <c r="L14" s="2"/>
      <c r="M14" s="2"/>
      <c r="N14" s="2"/>
      <c r="O14" s="2"/>
      <c r="P14" s="2"/>
      <c r="Q14" s="2"/>
      <c r="R14" s="2"/>
      <c r="S14" s="2"/>
      <c r="T14" s="2"/>
      <c r="U14" s="2"/>
      <c r="V14" s="2"/>
      <c r="W14" s="2"/>
      <c r="X14" s="2"/>
      <c r="Y14" s="2"/>
      <c r="Z14" s="2"/>
    </row>
    <row r="15">
      <c r="A15" s="10" t="s">
        <v>72</v>
      </c>
      <c r="B15" s="8" t="s">
        <v>73</v>
      </c>
      <c r="C15" s="2"/>
      <c r="D15" s="2"/>
      <c r="E15" s="2"/>
      <c r="F15" s="2"/>
      <c r="G15" s="2"/>
      <c r="H15" s="2"/>
      <c r="I15" s="2"/>
      <c r="J15" s="2"/>
      <c r="K15" s="2"/>
      <c r="L15" s="2"/>
      <c r="M15" s="2"/>
      <c r="N15" s="2"/>
      <c r="O15" s="2"/>
      <c r="P15" s="2"/>
      <c r="Q15" s="2"/>
      <c r="R15" s="2"/>
      <c r="S15" s="2"/>
      <c r="T15" s="2"/>
      <c r="U15" s="2"/>
      <c r="V15" s="2"/>
      <c r="W15" s="2"/>
      <c r="X15" s="2"/>
      <c r="Y15" s="2"/>
      <c r="Z15" s="2"/>
    </row>
    <row r="16">
      <c r="A16" s="10" t="s">
        <v>74</v>
      </c>
      <c r="B16" s="8" t="s">
        <v>75</v>
      </c>
      <c r="C16" s="2"/>
      <c r="D16" s="2"/>
      <c r="E16" s="2"/>
      <c r="F16" s="2"/>
      <c r="G16" s="2"/>
      <c r="H16" s="2"/>
      <c r="I16" s="2"/>
      <c r="J16" s="2"/>
      <c r="K16" s="2"/>
      <c r="L16" s="2"/>
      <c r="M16" s="2"/>
      <c r="N16" s="2"/>
      <c r="O16" s="2"/>
      <c r="P16" s="2"/>
      <c r="Q16" s="2"/>
      <c r="R16" s="2"/>
      <c r="S16" s="2"/>
      <c r="T16" s="2"/>
      <c r="U16" s="2"/>
      <c r="V16" s="2"/>
      <c r="W16" s="2"/>
      <c r="X16" s="2"/>
      <c r="Y16" s="2"/>
      <c r="Z16" s="2"/>
    </row>
    <row r="17">
      <c r="A17" s="10" t="s">
        <v>76</v>
      </c>
      <c r="B17" s="8" t="s">
        <v>77</v>
      </c>
      <c r="C17" s="2"/>
      <c r="D17" s="2"/>
      <c r="E17" s="2"/>
      <c r="F17" s="2"/>
      <c r="G17" s="2"/>
      <c r="H17" s="2"/>
      <c r="I17" s="2"/>
      <c r="J17" s="2"/>
      <c r="K17" s="2"/>
      <c r="L17" s="2"/>
      <c r="M17" s="2"/>
      <c r="N17" s="2"/>
      <c r="O17" s="2"/>
      <c r="P17" s="2"/>
      <c r="Q17" s="2"/>
      <c r="R17" s="2"/>
      <c r="S17" s="2"/>
      <c r="T17" s="2"/>
      <c r="U17" s="2"/>
      <c r="V17" s="2"/>
      <c r="W17" s="2"/>
      <c r="X17" s="2"/>
      <c r="Y17" s="2"/>
      <c r="Z17" s="2"/>
    </row>
    <row r="18">
      <c r="A18" s="10" t="s">
        <v>78</v>
      </c>
      <c r="B18" s="8" t="s">
        <v>79</v>
      </c>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I1"/>
    <mergeCell ref="A2:I2"/>
    <mergeCell ref="A14:I14"/>
  </mergeCell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7" t="s">
        <v>80</v>
      </c>
      <c r="E1" s="2"/>
      <c r="F1" s="2"/>
      <c r="G1" s="2"/>
      <c r="H1" s="2"/>
      <c r="I1" s="2"/>
      <c r="J1" s="2"/>
      <c r="K1" s="2"/>
      <c r="L1" s="2"/>
      <c r="M1" s="2"/>
      <c r="N1" s="2"/>
      <c r="O1" s="2"/>
      <c r="P1" s="2"/>
      <c r="Q1" s="2"/>
      <c r="R1" s="2"/>
      <c r="S1" s="2"/>
      <c r="T1" s="2"/>
      <c r="U1" s="2"/>
      <c r="V1" s="2"/>
      <c r="W1" s="2"/>
      <c r="X1" s="2"/>
      <c r="Y1" s="2"/>
      <c r="Z1" s="2"/>
    </row>
    <row r="2">
      <c r="A2" s="8" t="s">
        <v>81</v>
      </c>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8" t="s">
        <v>82</v>
      </c>
      <c r="B4" s="28" t="s">
        <v>83</v>
      </c>
      <c r="C4" s="28" t="s">
        <v>84</v>
      </c>
      <c r="D4" s="28" t="s">
        <v>48</v>
      </c>
      <c r="E4" s="2"/>
      <c r="F4" s="2"/>
      <c r="G4" s="2"/>
      <c r="H4" s="2"/>
      <c r="I4" s="2"/>
      <c r="J4" s="2"/>
      <c r="K4" s="2"/>
      <c r="L4" s="2"/>
      <c r="M4" s="2"/>
      <c r="N4" s="2"/>
      <c r="O4" s="2"/>
      <c r="P4" s="2"/>
      <c r="Q4" s="2"/>
      <c r="R4" s="2"/>
      <c r="S4" s="2"/>
      <c r="T4" s="2"/>
      <c r="U4" s="2"/>
      <c r="V4" s="2"/>
      <c r="W4" s="2"/>
      <c r="X4" s="2"/>
      <c r="Y4" s="2"/>
      <c r="Z4" s="2"/>
    </row>
    <row r="5">
      <c r="A5" s="29" t="s">
        <v>85</v>
      </c>
      <c r="B5" s="30">
        <v>260.0</v>
      </c>
      <c r="C5" s="29" t="s">
        <v>86</v>
      </c>
      <c r="D5" s="31"/>
      <c r="E5" s="2"/>
      <c r="F5" s="2"/>
      <c r="G5" s="2"/>
      <c r="H5" s="2"/>
      <c r="I5" s="2"/>
      <c r="J5" s="2"/>
      <c r="K5" s="2"/>
      <c r="L5" s="2"/>
      <c r="M5" s="2"/>
      <c r="N5" s="2"/>
      <c r="O5" s="2"/>
      <c r="P5" s="2"/>
      <c r="Q5" s="2"/>
      <c r="R5" s="2"/>
      <c r="S5" s="2"/>
      <c r="T5" s="2"/>
      <c r="U5" s="2"/>
      <c r="V5" s="2"/>
      <c r="W5" s="2"/>
      <c r="X5" s="2"/>
      <c r="Y5" s="2"/>
      <c r="Z5" s="2"/>
    </row>
    <row r="6">
      <c r="A6" s="32" t="s">
        <v>87</v>
      </c>
      <c r="B6" s="33">
        <v>365.0</v>
      </c>
      <c r="C6" s="32" t="s">
        <v>88</v>
      </c>
      <c r="D6" s="34"/>
      <c r="E6" s="2"/>
      <c r="F6" s="2"/>
      <c r="G6" s="2"/>
      <c r="H6" s="2"/>
      <c r="I6" s="2"/>
      <c r="J6" s="2"/>
      <c r="K6" s="2"/>
      <c r="L6" s="2"/>
      <c r="M6" s="2"/>
      <c r="N6" s="2"/>
      <c r="O6" s="2"/>
      <c r="P6" s="2"/>
      <c r="Q6" s="2"/>
      <c r="R6" s="2"/>
      <c r="S6" s="2"/>
      <c r="T6" s="2"/>
      <c r="U6" s="2"/>
      <c r="V6" s="2"/>
      <c r="W6" s="2"/>
      <c r="X6" s="2"/>
      <c r="Y6" s="2"/>
      <c r="Z6" s="2"/>
    </row>
    <row r="7">
      <c r="A7" s="29" t="s">
        <v>89</v>
      </c>
      <c r="B7" s="30">
        <v>52.0</v>
      </c>
      <c r="C7" s="29" t="s">
        <v>90</v>
      </c>
      <c r="D7" s="31"/>
      <c r="E7" s="2"/>
      <c r="F7" s="2"/>
      <c r="G7" s="2"/>
      <c r="H7" s="2"/>
      <c r="I7" s="2"/>
      <c r="J7" s="2"/>
      <c r="K7" s="2"/>
      <c r="L7" s="2"/>
      <c r="M7" s="2"/>
      <c r="N7" s="2"/>
      <c r="O7" s="2"/>
      <c r="P7" s="2"/>
      <c r="Q7" s="2"/>
      <c r="R7" s="2"/>
      <c r="S7" s="2"/>
      <c r="T7" s="2"/>
      <c r="U7" s="2"/>
      <c r="V7" s="2"/>
      <c r="W7" s="2"/>
      <c r="X7" s="2"/>
      <c r="Y7" s="2"/>
      <c r="Z7" s="2"/>
    </row>
    <row r="8">
      <c r="A8" s="32" t="s">
        <v>91</v>
      </c>
      <c r="B8" s="33">
        <v>26.0</v>
      </c>
      <c r="C8" s="32" t="s">
        <v>92</v>
      </c>
      <c r="D8" s="34"/>
      <c r="E8" s="2"/>
      <c r="F8" s="2"/>
      <c r="G8" s="2"/>
      <c r="H8" s="2"/>
      <c r="I8" s="2"/>
      <c r="J8" s="2"/>
      <c r="K8" s="2"/>
      <c r="L8" s="2"/>
      <c r="M8" s="2"/>
      <c r="N8" s="2"/>
      <c r="O8" s="2"/>
      <c r="P8" s="2"/>
      <c r="Q8" s="2"/>
      <c r="R8" s="2"/>
      <c r="S8" s="2"/>
      <c r="T8" s="2"/>
      <c r="U8" s="2"/>
      <c r="V8" s="2"/>
      <c r="W8" s="2"/>
      <c r="X8" s="2"/>
      <c r="Y8" s="2"/>
      <c r="Z8" s="2"/>
    </row>
    <row r="9">
      <c r="A9" s="29" t="s">
        <v>93</v>
      </c>
      <c r="B9" s="30">
        <v>12.0</v>
      </c>
      <c r="C9" s="29" t="s">
        <v>94</v>
      </c>
      <c r="D9" s="31"/>
      <c r="E9" s="2"/>
      <c r="F9" s="2"/>
      <c r="G9" s="2"/>
      <c r="H9" s="2"/>
      <c r="I9" s="2"/>
      <c r="J9" s="2"/>
      <c r="K9" s="2"/>
      <c r="L9" s="2"/>
      <c r="M9" s="2"/>
      <c r="N9" s="2"/>
      <c r="O9" s="2"/>
      <c r="P9" s="2"/>
      <c r="Q9" s="2"/>
      <c r="R9" s="2"/>
      <c r="S9" s="2"/>
      <c r="T9" s="2"/>
      <c r="U9" s="2"/>
      <c r="V9" s="2"/>
      <c r="W9" s="2"/>
      <c r="X9" s="2"/>
      <c r="Y9" s="2"/>
      <c r="Z9" s="2"/>
    </row>
    <row r="10">
      <c r="A10" s="32" t="s">
        <v>95</v>
      </c>
      <c r="B10" s="33">
        <v>4.0</v>
      </c>
      <c r="C10" s="32" t="s">
        <v>96</v>
      </c>
      <c r="D10" s="34"/>
      <c r="E10" s="2"/>
      <c r="F10" s="2"/>
      <c r="G10" s="2"/>
      <c r="H10" s="2"/>
      <c r="I10" s="2"/>
      <c r="J10" s="2"/>
      <c r="K10" s="2"/>
      <c r="L10" s="2"/>
      <c r="M10" s="2"/>
      <c r="N10" s="2"/>
      <c r="O10" s="2"/>
      <c r="P10" s="2"/>
      <c r="Q10" s="2"/>
      <c r="R10" s="2"/>
      <c r="S10" s="2"/>
      <c r="T10" s="2"/>
      <c r="U10" s="2"/>
      <c r="V10" s="2"/>
      <c r="W10" s="2"/>
      <c r="X10" s="2"/>
      <c r="Y10" s="2"/>
      <c r="Z10" s="2"/>
    </row>
    <row r="11">
      <c r="A11" s="29" t="s">
        <v>97</v>
      </c>
      <c r="B11" s="30">
        <v>1.0</v>
      </c>
      <c r="C11" s="29" t="s">
        <v>98</v>
      </c>
      <c r="D11" s="31"/>
      <c r="E11" s="2"/>
      <c r="F11" s="2"/>
      <c r="G11" s="2"/>
      <c r="H11" s="2"/>
      <c r="I11" s="2"/>
      <c r="J11" s="2"/>
      <c r="K11" s="2"/>
      <c r="L11" s="2"/>
      <c r="M11" s="2"/>
      <c r="N11" s="2"/>
      <c r="O11" s="2"/>
      <c r="P11" s="2"/>
      <c r="Q11" s="2"/>
      <c r="R11" s="2"/>
      <c r="S11" s="2"/>
      <c r="T11" s="2"/>
      <c r="U11" s="2"/>
      <c r="V11" s="2"/>
      <c r="W11" s="2"/>
      <c r="X11" s="2"/>
      <c r="Y11" s="2"/>
      <c r="Z11" s="2"/>
    </row>
    <row r="12">
      <c r="A12" s="32" t="s">
        <v>99</v>
      </c>
      <c r="B12" s="35"/>
      <c r="C12" s="32" t="s">
        <v>100</v>
      </c>
      <c r="D12" s="34"/>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D1"/>
    <mergeCell ref="A2:D2"/>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1.0" topLeftCell="A12" activePane="bottomLeft" state="frozen"/>
      <selection activeCell="B13" sqref="B13" pane="bottomLeft"/>
    </sheetView>
  </sheetViews>
  <sheetFormatPr customHeight="1" defaultColWidth="14.43" defaultRowHeight="15.0"/>
  <cols>
    <col customWidth="1" min="1" max="3" width="28.0"/>
    <col customWidth="1" min="4" max="4" width="14.0"/>
    <col customWidth="1" min="5" max="6" width="18.0"/>
    <col customWidth="1" min="7" max="7" width="20.0"/>
    <col customWidth="1" min="8" max="8" width="16.0"/>
    <col customWidth="1" min="9" max="9" width="17.0"/>
    <col customWidth="1" min="10" max="11" width="15.0"/>
    <col customWidth="1" min="12" max="13" width="16.0"/>
    <col customWidth="1" min="14" max="14" width="22.0"/>
    <col customWidth="1" min="15" max="15" width="45.0"/>
    <col customWidth="1" min="16" max="26" width="8.71"/>
  </cols>
  <sheetData>
    <row r="1" ht="24.0" customHeight="1">
      <c r="A1" s="11" t="s">
        <v>101</v>
      </c>
      <c r="I1" s="3"/>
      <c r="J1" s="3"/>
      <c r="K1" s="3"/>
      <c r="L1" s="3"/>
      <c r="M1" s="3"/>
      <c r="N1" s="3"/>
      <c r="O1" s="3"/>
      <c r="P1" s="2"/>
      <c r="Q1" s="2"/>
      <c r="R1" s="2"/>
      <c r="S1" s="2"/>
      <c r="T1" s="2"/>
      <c r="U1" s="2"/>
      <c r="V1" s="2"/>
      <c r="W1" s="2"/>
      <c r="X1" s="2"/>
      <c r="Y1" s="2"/>
      <c r="Z1" s="2"/>
    </row>
    <row r="2" ht="36.0" customHeight="1">
      <c r="A2" s="36" t="s">
        <v>102</v>
      </c>
      <c r="I2" s="3"/>
      <c r="J2" s="3"/>
      <c r="K2" s="3"/>
      <c r="L2" s="3"/>
      <c r="M2" s="3"/>
      <c r="N2" s="3"/>
      <c r="O2" s="3"/>
      <c r="P2" s="2"/>
      <c r="Q2" s="2"/>
      <c r="R2" s="2"/>
      <c r="S2" s="2"/>
      <c r="T2" s="2"/>
      <c r="U2" s="2"/>
      <c r="V2" s="2"/>
      <c r="W2" s="2"/>
      <c r="X2" s="2"/>
      <c r="Y2" s="2"/>
      <c r="Z2" s="2"/>
    </row>
    <row r="3">
      <c r="A3" s="4" t="s">
        <v>103</v>
      </c>
      <c r="B3" s="37">
        <v>50000.0</v>
      </c>
      <c r="C3" s="3"/>
      <c r="D3" s="38" t="s">
        <v>104</v>
      </c>
      <c r="G3" s="3"/>
      <c r="H3" s="3"/>
      <c r="I3" s="3"/>
      <c r="J3" s="3"/>
      <c r="K3" s="3"/>
      <c r="L3" s="3"/>
      <c r="M3" s="3"/>
      <c r="N3" s="3"/>
      <c r="O3" s="3"/>
      <c r="P3" s="2"/>
      <c r="Q3" s="2"/>
      <c r="R3" s="2"/>
      <c r="S3" s="2"/>
      <c r="T3" s="2"/>
      <c r="U3" s="2"/>
      <c r="V3" s="2"/>
      <c r="W3" s="2"/>
      <c r="X3" s="2"/>
      <c r="Y3" s="2"/>
      <c r="Z3" s="2"/>
    </row>
    <row r="4">
      <c r="A4" s="4" t="s">
        <v>105</v>
      </c>
      <c r="B4" s="39">
        <f>SUM(Q13:Q62)</f>
        <v>8280.00725</v>
      </c>
      <c r="C4" s="3"/>
      <c r="D4" s="7" t="s">
        <v>106</v>
      </c>
      <c r="E4" s="7" t="s">
        <v>107</v>
      </c>
      <c r="F4" s="7" t="s">
        <v>108</v>
      </c>
      <c r="G4" s="3"/>
      <c r="H4" s="3"/>
      <c r="I4" s="3"/>
      <c r="J4" s="3"/>
      <c r="K4" s="3"/>
      <c r="L4" s="3"/>
      <c r="M4" s="3"/>
      <c r="N4" s="3"/>
      <c r="O4" s="3"/>
      <c r="P4" s="2"/>
      <c r="Q4" s="2"/>
      <c r="R4" s="2"/>
      <c r="S4" s="2"/>
      <c r="T4" s="2"/>
      <c r="U4" s="2"/>
      <c r="V4" s="2"/>
      <c r="W4" s="2"/>
      <c r="X4" s="2"/>
      <c r="Y4" s="2"/>
      <c r="Z4" s="2"/>
    </row>
    <row r="5">
      <c r="A5" s="4" t="s">
        <v>109</v>
      </c>
      <c r="B5" s="40">
        <f>IFERROR(B4/B3,0)</f>
        <v>0.165600145</v>
      </c>
      <c r="C5" s="3"/>
      <c r="D5" s="5" t="s">
        <v>110</v>
      </c>
      <c r="E5" s="5" t="str">
        <f t="shared" ref="E5:E11" si="1">IF(COUNTIF($B$13:$B$62,D5)&gt;0,"Covered","Missing")</f>
        <v>Covered</v>
      </c>
      <c r="F5" s="3"/>
      <c r="G5" s="3"/>
      <c r="H5" s="3"/>
      <c r="I5" s="3"/>
      <c r="J5" s="3"/>
      <c r="K5" s="3"/>
      <c r="L5" s="3"/>
      <c r="M5" s="3"/>
      <c r="N5" s="3"/>
      <c r="O5" s="3"/>
      <c r="P5" s="2"/>
      <c r="Q5" s="2"/>
      <c r="R5" s="2"/>
      <c r="S5" s="2"/>
      <c r="T5" s="2"/>
      <c r="U5" s="2"/>
      <c r="V5" s="2"/>
      <c r="W5" s="2"/>
      <c r="X5" s="2"/>
      <c r="Y5" s="2"/>
      <c r="Z5" s="2"/>
    </row>
    <row r="6">
      <c r="A6" s="4" t="s">
        <v>111</v>
      </c>
      <c r="B6" s="39">
        <f>B3-B4</f>
        <v>41719.99275</v>
      </c>
      <c r="C6" s="3"/>
      <c r="D6" s="5" t="s">
        <v>112</v>
      </c>
      <c r="E6" s="5" t="str">
        <f t="shared" si="1"/>
        <v>Covered</v>
      </c>
      <c r="F6" s="3"/>
      <c r="G6" s="3"/>
      <c r="H6" s="3"/>
      <c r="I6" s="3"/>
      <c r="J6" s="3"/>
      <c r="K6" s="3"/>
      <c r="L6" s="3"/>
      <c r="M6" s="3"/>
      <c r="N6" s="3"/>
      <c r="O6" s="3"/>
      <c r="P6" s="2"/>
      <c r="Q6" s="2"/>
      <c r="R6" s="2"/>
      <c r="S6" s="2"/>
      <c r="T6" s="2"/>
      <c r="U6" s="2"/>
      <c r="V6" s="2"/>
      <c r="W6" s="2"/>
      <c r="X6" s="2"/>
      <c r="Y6" s="2"/>
      <c r="Z6" s="2"/>
    </row>
    <row r="7">
      <c r="A7" s="4" t="s">
        <v>113</v>
      </c>
      <c r="B7" s="41" t="str">
        <f>IF(B5&lt;0.25,"Low utilization: explain why efficient or under-scoped",IF(B5&lt;0.6,"Conservative: explain tradeoffs",IF(B5&lt;0.9,"Substantial production usage: justify assumptions",IF(B5&lt;1.1,"Near budget: explain risk controls","Over budget: optimize or justify"))))</f>
        <v>Low utilization: explain why efficient or under-scoped</v>
      </c>
      <c r="C7" s="3"/>
      <c r="D7" s="5" t="s">
        <v>114</v>
      </c>
      <c r="E7" s="5" t="str">
        <f t="shared" si="1"/>
        <v>Covered</v>
      </c>
      <c r="F7" s="3"/>
      <c r="G7" s="3"/>
      <c r="H7" s="3"/>
      <c r="I7" s="3"/>
      <c r="J7" s="3"/>
      <c r="K7" s="3"/>
      <c r="L7" s="3"/>
      <c r="M7" s="3"/>
      <c r="N7" s="3"/>
      <c r="O7" s="3"/>
      <c r="P7" s="2"/>
      <c r="Q7" s="2"/>
      <c r="R7" s="2"/>
      <c r="S7" s="2"/>
      <c r="T7" s="2"/>
      <c r="U7" s="2"/>
      <c r="V7" s="2"/>
      <c r="W7" s="2"/>
      <c r="X7" s="2"/>
      <c r="Y7" s="2"/>
      <c r="Z7" s="2"/>
    </row>
    <row r="8">
      <c r="A8" s="4" t="s">
        <v>115</v>
      </c>
      <c r="B8" s="42">
        <f>COUNTA(A13:A62)</f>
        <v>9</v>
      </c>
      <c r="C8" s="3"/>
      <c r="D8" s="5" t="s">
        <v>116</v>
      </c>
      <c r="E8" s="5" t="str">
        <f t="shared" si="1"/>
        <v>Covered</v>
      </c>
      <c r="F8" s="3"/>
      <c r="G8" s="3"/>
      <c r="H8" s="3"/>
      <c r="I8" s="3"/>
      <c r="J8" s="3"/>
      <c r="K8" s="3"/>
      <c r="L8" s="3"/>
      <c r="M8" s="3"/>
      <c r="N8" s="3"/>
      <c r="O8" s="3"/>
      <c r="P8" s="2"/>
      <c r="Q8" s="2"/>
      <c r="R8" s="2"/>
      <c r="S8" s="2"/>
      <c r="T8" s="2"/>
      <c r="U8" s="2"/>
      <c r="V8" s="2"/>
      <c r="W8" s="2"/>
      <c r="X8" s="2"/>
      <c r="Y8" s="2"/>
      <c r="Z8" s="2"/>
    </row>
    <row r="9">
      <c r="A9" s="4" t="s">
        <v>117</v>
      </c>
      <c r="B9" s="42">
        <f>COUNTIF(V13:V62,"*Missing*")</f>
        <v>0</v>
      </c>
      <c r="C9" s="3"/>
      <c r="D9" s="5" t="s">
        <v>118</v>
      </c>
      <c r="E9" s="5" t="str">
        <f t="shared" si="1"/>
        <v>Covered</v>
      </c>
      <c r="F9" s="3"/>
      <c r="G9" s="3"/>
      <c r="H9" s="3"/>
      <c r="I9" s="3"/>
      <c r="J9" s="3"/>
      <c r="K9" s="3"/>
      <c r="L9" s="3"/>
      <c r="M9" s="3"/>
      <c r="N9" s="3"/>
      <c r="O9" s="3"/>
      <c r="P9" s="2"/>
      <c r="Q9" s="2"/>
      <c r="R9" s="2"/>
      <c r="S9" s="2"/>
      <c r="T9" s="2"/>
      <c r="U9" s="2"/>
      <c r="V9" s="2"/>
      <c r="W9" s="2"/>
      <c r="X9" s="2"/>
      <c r="Y9" s="2"/>
      <c r="Z9" s="2"/>
    </row>
    <row r="10">
      <c r="A10" s="3"/>
      <c r="B10" s="3"/>
      <c r="C10" s="3"/>
      <c r="D10" s="5" t="s">
        <v>119</v>
      </c>
      <c r="E10" s="5" t="str">
        <f t="shared" si="1"/>
        <v>Covered</v>
      </c>
      <c r="F10" s="3"/>
      <c r="G10" s="3"/>
      <c r="H10" s="3"/>
      <c r="I10" s="3"/>
      <c r="J10" s="3"/>
      <c r="K10" s="3"/>
      <c r="L10" s="3"/>
      <c r="M10" s="3"/>
      <c r="N10" s="3"/>
      <c r="O10" s="3"/>
      <c r="P10" s="2"/>
      <c r="Q10" s="2"/>
      <c r="R10" s="2"/>
      <c r="S10" s="2"/>
      <c r="T10" s="2"/>
      <c r="U10" s="2"/>
      <c r="V10" s="2"/>
      <c r="W10" s="2"/>
      <c r="X10" s="2"/>
      <c r="Y10" s="2"/>
      <c r="Z10" s="2"/>
    </row>
    <row r="11" ht="43.5" customHeight="1">
      <c r="A11" s="43"/>
      <c r="B11" s="43"/>
      <c r="C11" s="43"/>
      <c r="D11" s="44" t="s">
        <v>120</v>
      </c>
      <c r="E11" s="44" t="str">
        <f t="shared" si="1"/>
        <v>Covered</v>
      </c>
      <c r="F11" s="43"/>
      <c r="G11" s="43"/>
      <c r="H11" s="43"/>
      <c r="I11" s="43"/>
      <c r="J11" s="43"/>
      <c r="K11" s="43"/>
      <c r="L11" s="43"/>
      <c r="M11" s="43"/>
      <c r="N11" s="43"/>
      <c r="O11" s="43"/>
      <c r="P11" s="45"/>
      <c r="Q11" s="45"/>
      <c r="R11" s="45"/>
      <c r="S11" s="45"/>
      <c r="T11" s="45"/>
      <c r="U11" s="45"/>
      <c r="V11" s="45"/>
      <c r="W11" s="45"/>
      <c r="X11" s="45"/>
      <c r="Y11" s="45"/>
      <c r="Z11" s="45"/>
    </row>
    <row r="12">
      <c r="A12" s="46" t="s">
        <v>121</v>
      </c>
      <c r="B12" s="46" t="s">
        <v>122</v>
      </c>
      <c r="C12" s="46" t="s">
        <v>123</v>
      </c>
      <c r="D12" s="47" t="s">
        <v>124</v>
      </c>
      <c r="E12" s="47" t="s">
        <v>82</v>
      </c>
      <c r="F12" s="47" t="s">
        <v>83</v>
      </c>
      <c r="G12" s="46" t="s">
        <v>125</v>
      </c>
      <c r="H12" s="48" t="s">
        <v>126</v>
      </c>
      <c r="I12" s="48" t="s">
        <v>41</v>
      </c>
      <c r="J12" s="49" t="s">
        <v>43</v>
      </c>
      <c r="K12" s="50" t="s">
        <v>44</v>
      </c>
      <c r="L12" s="48" t="s">
        <v>127</v>
      </c>
      <c r="M12" s="48" t="s">
        <v>128</v>
      </c>
      <c r="N12" s="48" t="s">
        <v>129</v>
      </c>
      <c r="O12" s="46" t="s">
        <v>130</v>
      </c>
      <c r="P12" s="28" t="s">
        <v>131</v>
      </c>
      <c r="Q12" s="28" t="s">
        <v>132</v>
      </c>
      <c r="R12" s="28" t="s">
        <v>133</v>
      </c>
      <c r="S12" s="28" t="s">
        <v>134</v>
      </c>
      <c r="T12" s="28" t="s">
        <v>135</v>
      </c>
      <c r="U12" s="28" t="s">
        <v>136</v>
      </c>
      <c r="V12" s="28" t="s">
        <v>137</v>
      </c>
      <c r="W12" s="2"/>
      <c r="X12" s="2"/>
      <c r="Y12" s="2"/>
      <c r="Z12" s="2"/>
    </row>
    <row r="13">
      <c r="A13" s="51" t="s">
        <v>138</v>
      </c>
      <c r="B13" s="51" t="s">
        <v>112</v>
      </c>
      <c r="C13" s="51" t="s">
        <v>139</v>
      </c>
      <c r="D13" s="52">
        <v>500.0</v>
      </c>
      <c r="E13" s="53" t="s">
        <v>85</v>
      </c>
      <c r="F13" s="54">
        <f t="array" ref="F13">IFERROR(XLOOKUP(E13,'Cadence Reference'!$A$5:$A$12,'Cadence Reference'!$B$5:$B$12),"")</f>
        <v>260</v>
      </c>
      <c r="G13" s="52">
        <v>1000.0</v>
      </c>
      <c r="H13" s="52">
        <v>50.0</v>
      </c>
      <c r="I13" s="55" t="s">
        <v>69</v>
      </c>
      <c r="J13" s="56">
        <f t="array" ref="J13">IFERROR(XLOOKUP(I13,'Pricing Reference'!$B$5:$B$12,'Pricing Reference'!$D$5:$D$12),"")</f>
        <v>1</v>
      </c>
      <c r="K13" s="56">
        <f t="array" ref="K13">IFERROR(XLOOKUP(I13,'Pricing Reference'!$B$5:$B$12,'Pricing Reference'!$E$5:$E$12),"")</f>
        <v>5</v>
      </c>
      <c r="L13" s="57">
        <v>0.05</v>
      </c>
      <c r="M13" s="58">
        <v>1.05</v>
      </c>
      <c r="N13" s="59">
        <f t="shared" ref="N13:N62" si="2">IF(OR(G13="",I13=""),"",((G13*J13)+(H13*K13))/1000000)</f>
        <v>0.00125</v>
      </c>
      <c r="O13" s="59">
        <f t="shared" ref="O13:O62" si="3">IF(N13="","",N13*(1+L13)*M13)</f>
        <v>0.001378125</v>
      </c>
      <c r="P13" s="59">
        <f t="shared" ref="P13:P62" si="4">IF(OR(D13="",O13=""),"",D13*O13)</f>
        <v>0.6890625</v>
      </c>
      <c r="Q13" s="60">
        <f t="shared" ref="Q13:Q62" si="5">IF(OR(P13="",F13=""),"",P13*F13)</f>
        <v>179.15625</v>
      </c>
      <c r="R13" s="61"/>
      <c r="S13" s="62" t="str">
        <f t="shared" ref="S13:S62" si="6">IF(R13="","",IF(O13=0,"",R13/O13-1))</f>
        <v/>
      </c>
      <c r="T13" s="51" t="s">
        <v>140</v>
      </c>
      <c r="U13" s="31"/>
      <c r="V13" s="31" t="str">
        <f t="shared" ref="V13:V62" si="7">IF(A13="","",TEXTJOIN("; ",TRUE,IF(B13="","Missing operating area",""),IF(E13="","Missing cadence",""),IF(I13="","Missing model",""),IF(D13="","Missing volume",""),IF(G13="","Missing input tokens",""),IF(M13="","Missing QA multiplier",""),IF(T13="","Missing assumption notes","")))</f>
        <v/>
      </c>
      <c r="W13" s="2"/>
      <c r="X13" s="2"/>
      <c r="Y13" s="2"/>
      <c r="Z13" s="2"/>
    </row>
    <row r="14">
      <c r="A14" s="63" t="s">
        <v>141</v>
      </c>
      <c r="B14" s="63" t="s">
        <v>110</v>
      </c>
      <c r="C14" s="63" t="s">
        <v>142</v>
      </c>
      <c r="D14" s="64">
        <v>1000.0</v>
      </c>
      <c r="E14" s="65" t="s">
        <v>85</v>
      </c>
      <c r="F14" s="66">
        <f t="array" ref="F14">IFERROR(XLOOKUP(E14,'Cadence Reference'!$A$5:$A$12,'Cadence Reference'!$B$5:$B$12),"")</f>
        <v>260</v>
      </c>
      <c r="G14" s="64">
        <v>2000.0</v>
      </c>
      <c r="H14" s="64">
        <v>100.0</v>
      </c>
      <c r="I14" s="67" t="s">
        <v>56</v>
      </c>
      <c r="J14" s="22">
        <f t="array" ref="J14">IFERROR(XLOOKUP(I14,'Pricing Reference'!$B$5:$B$12,'Pricing Reference'!$D$5:$D$12),"")</f>
        <v>0.75</v>
      </c>
      <c r="K14" s="22">
        <f t="array" ref="K14">IFERROR(XLOOKUP(I14,'Pricing Reference'!$B$5:$B$12,'Pricing Reference'!$E$5:$E$12),"")</f>
        <v>4.5</v>
      </c>
      <c r="L14" s="68">
        <v>0.05</v>
      </c>
      <c r="M14" s="69">
        <v>1.0</v>
      </c>
      <c r="N14" s="70">
        <f t="shared" si="2"/>
        <v>0.00195</v>
      </c>
      <c r="O14" s="70">
        <f t="shared" si="3"/>
        <v>0.0020475</v>
      </c>
      <c r="P14" s="70">
        <f t="shared" si="4"/>
        <v>2.0475</v>
      </c>
      <c r="Q14" s="71">
        <f t="shared" si="5"/>
        <v>532.35</v>
      </c>
      <c r="R14" s="72"/>
      <c r="S14" s="73" t="str">
        <f t="shared" si="6"/>
        <v/>
      </c>
      <c r="T14" s="63" t="s">
        <v>143</v>
      </c>
      <c r="U14" s="34"/>
      <c r="V14" s="34" t="str">
        <f t="shared" si="7"/>
        <v/>
      </c>
      <c r="W14" s="2"/>
      <c r="X14" s="2"/>
      <c r="Y14" s="2"/>
      <c r="Z14" s="2"/>
    </row>
    <row r="15">
      <c r="A15" s="51" t="s">
        <v>144</v>
      </c>
      <c r="B15" s="51" t="s">
        <v>114</v>
      </c>
      <c r="C15" s="51" t="s">
        <v>145</v>
      </c>
      <c r="D15" s="52">
        <v>2000.0</v>
      </c>
      <c r="E15" s="53" t="s">
        <v>87</v>
      </c>
      <c r="F15" s="54">
        <f t="array" ref="F15">IFERROR(XLOOKUP(E15,'Cadence Reference'!$A$5:$A$12,'Cadence Reference'!$B$5:$B$12),"")</f>
        <v>365</v>
      </c>
      <c r="G15" s="52">
        <v>1500.0</v>
      </c>
      <c r="H15" s="52">
        <v>200.0</v>
      </c>
      <c r="I15" s="55" t="s">
        <v>69</v>
      </c>
      <c r="J15" s="56">
        <f t="array" ref="J15">IFERROR(XLOOKUP(I15,'Pricing Reference'!$B$5:$B$12,'Pricing Reference'!$D$5:$D$12),"")</f>
        <v>1</v>
      </c>
      <c r="K15" s="56">
        <f t="array" ref="K15">IFERROR(XLOOKUP(I15,'Pricing Reference'!$B$5:$B$12,'Pricing Reference'!$E$5:$E$12),"")</f>
        <v>5</v>
      </c>
      <c r="L15" s="57">
        <v>0.1</v>
      </c>
      <c r="M15" s="58">
        <v>1.1</v>
      </c>
      <c r="N15" s="59">
        <f t="shared" si="2"/>
        <v>0.0025</v>
      </c>
      <c r="O15" s="59">
        <f t="shared" si="3"/>
        <v>0.003025</v>
      </c>
      <c r="P15" s="59">
        <f t="shared" si="4"/>
        <v>6.05</v>
      </c>
      <c r="Q15" s="60">
        <f t="shared" si="5"/>
        <v>2208.25</v>
      </c>
      <c r="R15" s="61"/>
      <c r="S15" s="62" t="str">
        <f t="shared" si="6"/>
        <v/>
      </c>
      <c r="T15" s="51" t="s">
        <v>146</v>
      </c>
      <c r="U15" s="31"/>
      <c r="V15" s="31" t="str">
        <f t="shared" si="7"/>
        <v/>
      </c>
      <c r="W15" s="2"/>
      <c r="X15" s="2"/>
      <c r="Y15" s="2"/>
      <c r="Z15" s="2"/>
    </row>
    <row r="16" ht="37.5" customHeight="1">
      <c r="A16" s="74" t="s">
        <v>147</v>
      </c>
      <c r="B16" s="74" t="s">
        <v>116</v>
      </c>
      <c r="C16" s="74" t="s">
        <v>148</v>
      </c>
      <c r="D16" s="75">
        <v>300.0</v>
      </c>
      <c r="E16" s="76" t="s">
        <v>85</v>
      </c>
      <c r="F16" s="77">
        <f t="array" ref="F16">IFERROR(XLOOKUP(E16,'Cadence Reference'!$A$5:$A$12,'Cadence Reference'!$B$5:$B$12),"")</f>
        <v>260</v>
      </c>
      <c r="G16" s="75">
        <v>5000.0</v>
      </c>
      <c r="H16" s="75">
        <v>500.0</v>
      </c>
      <c r="I16" s="78" t="s">
        <v>67</v>
      </c>
      <c r="J16" s="79">
        <f t="array" ref="J16">IFERROR(XLOOKUP(I16,'Pricing Reference'!$B$5:$B$12,'Pricing Reference'!$D$5:$D$12),"")</f>
        <v>3</v>
      </c>
      <c r="K16" s="79">
        <f t="array" ref="K16">IFERROR(XLOOKUP(I16,'Pricing Reference'!$B$5:$B$12,'Pricing Reference'!$E$5:$E$12),"")</f>
        <v>15</v>
      </c>
      <c r="L16" s="80">
        <v>0.1</v>
      </c>
      <c r="M16" s="81">
        <v>1.05</v>
      </c>
      <c r="N16" s="72">
        <f t="shared" si="2"/>
        <v>0.0225</v>
      </c>
      <c r="O16" s="72">
        <f t="shared" si="3"/>
        <v>0.0259875</v>
      </c>
      <c r="P16" s="72">
        <f t="shared" si="4"/>
        <v>7.79625</v>
      </c>
      <c r="Q16" s="82">
        <f t="shared" si="5"/>
        <v>2027.025</v>
      </c>
      <c r="R16" s="72"/>
      <c r="S16" s="73" t="str">
        <f t="shared" si="6"/>
        <v/>
      </c>
      <c r="T16" s="74" t="s">
        <v>149</v>
      </c>
      <c r="U16" s="34"/>
      <c r="V16" s="34" t="str">
        <f t="shared" si="7"/>
        <v/>
      </c>
      <c r="W16" s="2"/>
      <c r="X16" s="2"/>
      <c r="Y16" s="2"/>
      <c r="Z16" s="2"/>
    </row>
    <row r="17" ht="37.5" customHeight="1">
      <c r="A17" s="83" t="s">
        <v>150</v>
      </c>
      <c r="B17" s="83" t="s">
        <v>120</v>
      </c>
      <c r="C17" s="83" t="s">
        <v>151</v>
      </c>
      <c r="D17" s="84">
        <v>50.0</v>
      </c>
      <c r="E17" s="85" t="s">
        <v>85</v>
      </c>
      <c r="F17" s="86">
        <f t="array" ref="F17">IFERROR(XLOOKUP(E17,'Cadence Reference'!$A$5:$A$12,'Cadence Reference'!$B$5:$B$12),"")</f>
        <v>260</v>
      </c>
      <c r="G17" s="84">
        <v>15000.0</v>
      </c>
      <c r="H17" s="84">
        <v>1000.0</v>
      </c>
      <c r="I17" s="87" t="s">
        <v>64</v>
      </c>
      <c r="J17" s="88">
        <f t="array" ref="J17">IFERROR(XLOOKUP(I17,'Pricing Reference'!$B$5:$B$12,'Pricing Reference'!$D$5:$D$12),"")</f>
        <v>5</v>
      </c>
      <c r="K17" s="88">
        <f t="array" ref="K17">IFERROR(XLOOKUP(I17,'Pricing Reference'!$B$5:$B$12,'Pricing Reference'!$E$5:$E$12),"")</f>
        <v>25</v>
      </c>
      <c r="L17" s="89">
        <v>0.15</v>
      </c>
      <c r="M17" s="90">
        <v>1.2</v>
      </c>
      <c r="N17" s="61">
        <f t="shared" si="2"/>
        <v>0.1</v>
      </c>
      <c r="O17" s="61">
        <f t="shared" si="3"/>
        <v>0.138</v>
      </c>
      <c r="P17" s="61">
        <f t="shared" si="4"/>
        <v>6.9</v>
      </c>
      <c r="Q17" s="91">
        <f t="shared" si="5"/>
        <v>1794</v>
      </c>
      <c r="R17" s="61"/>
      <c r="S17" s="62" t="str">
        <f t="shared" si="6"/>
        <v/>
      </c>
      <c r="T17" s="83" t="s">
        <v>152</v>
      </c>
      <c r="U17" s="31"/>
      <c r="V17" s="31" t="str">
        <f t="shared" si="7"/>
        <v/>
      </c>
      <c r="W17" s="2"/>
      <c r="X17" s="2"/>
      <c r="Y17" s="2"/>
      <c r="Z17" s="2"/>
    </row>
    <row r="18" ht="37.5" customHeight="1">
      <c r="A18" s="74" t="s">
        <v>153</v>
      </c>
      <c r="B18" s="74" t="s">
        <v>119</v>
      </c>
      <c r="C18" s="74" t="s">
        <v>154</v>
      </c>
      <c r="D18" s="75">
        <v>100.0</v>
      </c>
      <c r="E18" s="76" t="s">
        <v>89</v>
      </c>
      <c r="F18" s="77">
        <f t="array" ref="F18">IFERROR(XLOOKUP(E18,'Cadence Reference'!$A$5:$A$12,'Cadence Reference'!$B$5:$B$12),"")</f>
        <v>52</v>
      </c>
      <c r="G18" s="75">
        <v>8000.0</v>
      </c>
      <c r="H18" s="75">
        <v>800.0</v>
      </c>
      <c r="I18" s="78" t="s">
        <v>54</v>
      </c>
      <c r="J18" s="79">
        <f t="array" ref="J18">IFERROR(XLOOKUP(I18,'Pricing Reference'!$B$5:$B$12,'Pricing Reference'!$D$5:$D$12),"")</f>
        <v>2.5</v>
      </c>
      <c r="K18" s="79">
        <f t="array" ref="K18">IFERROR(XLOOKUP(I18,'Pricing Reference'!$B$5:$B$12,'Pricing Reference'!$E$5:$E$12),"")</f>
        <v>15</v>
      </c>
      <c r="L18" s="80">
        <v>0.1</v>
      </c>
      <c r="M18" s="81">
        <v>1.15</v>
      </c>
      <c r="N18" s="72">
        <f t="shared" si="2"/>
        <v>0.032</v>
      </c>
      <c r="O18" s="72">
        <f t="shared" si="3"/>
        <v>0.04048</v>
      </c>
      <c r="P18" s="72">
        <f t="shared" si="4"/>
        <v>4.048</v>
      </c>
      <c r="Q18" s="82">
        <f t="shared" si="5"/>
        <v>210.496</v>
      </c>
      <c r="R18" s="72"/>
      <c r="S18" s="73" t="str">
        <f t="shared" si="6"/>
        <v/>
      </c>
      <c r="T18" s="74" t="s">
        <v>155</v>
      </c>
      <c r="U18" s="34"/>
      <c r="V18" s="34" t="str">
        <f t="shared" si="7"/>
        <v/>
      </c>
      <c r="W18" s="2"/>
      <c r="X18" s="2"/>
      <c r="Y18" s="2"/>
      <c r="Z18" s="2"/>
    </row>
    <row r="19" ht="37.5" customHeight="1">
      <c r="A19" s="83" t="s">
        <v>156</v>
      </c>
      <c r="B19" s="83" t="s">
        <v>118</v>
      </c>
      <c r="C19" s="83" t="s">
        <v>157</v>
      </c>
      <c r="D19" s="84">
        <v>500.0</v>
      </c>
      <c r="E19" s="85" t="s">
        <v>89</v>
      </c>
      <c r="F19" s="86">
        <f t="array" ref="F19">IFERROR(XLOOKUP(E19,'Cadence Reference'!$A$5:$A$12,'Cadence Reference'!$B$5:$B$12),"")</f>
        <v>52</v>
      </c>
      <c r="G19" s="84">
        <v>6000.0</v>
      </c>
      <c r="H19" s="84">
        <v>300.0</v>
      </c>
      <c r="I19" s="87" t="s">
        <v>50</v>
      </c>
      <c r="J19" s="88">
        <f t="array" ref="J19">IFERROR(XLOOKUP(I19,'Pricing Reference'!$B$5:$B$12,'Pricing Reference'!$D$5:$D$12),"")</f>
        <v>5</v>
      </c>
      <c r="K19" s="88">
        <f t="array" ref="K19">IFERROR(XLOOKUP(I19,'Pricing Reference'!$B$5:$B$12,'Pricing Reference'!$E$5:$E$12),"")</f>
        <v>30</v>
      </c>
      <c r="L19" s="89">
        <v>0.05</v>
      </c>
      <c r="M19" s="90">
        <v>1.0</v>
      </c>
      <c r="N19" s="61">
        <f t="shared" si="2"/>
        <v>0.039</v>
      </c>
      <c r="O19" s="61">
        <f t="shared" si="3"/>
        <v>0.04095</v>
      </c>
      <c r="P19" s="61">
        <f t="shared" si="4"/>
        <v>20.475</v>
      </c>
      <c r="Q19" s="91">
        <f t="shared" si="5"/>
        <v>1064.7</v>
      </c>
      <c r="R19" s="61"/>
      <c r="S19" s="62" t="str">
        <f t="shared" si="6"/>
        <v/>
      </c>
      <c r="T19" s="83" t="s">
        <v>158</v>
      </c>
      <c r="U19" s="31"/>
      <c r="V19" s="31" t="str">
        <f t="shared" si="7"/>
        <v/>
      </c>
      <c r="W19" s="2"/>
      <c r="X19" s="2"/>
      <c r="Y19" s="2"/>
      <c r="Z19" s="2"/>
    </row>
    <row r="20" ht="37.5" customHeight="1">
      <c r="A20" s="74" t="s">
        <v>159</v>
      </c>
      <c r="B20" s="74" t="s">
        <v>110</v>
      </c>
      <c r="C20" s="74" t="s">
        <v>160</v>
      </c>
      <c r="D20" s="75">
        <v>2000.0</v>
      </c>
      <c r="E20" s="76" t="s">
        <v>89</v>
      </c>
      <c r="F20" s="77">
        <f t="array" ref="F20">IFERROR(XLOOKUP(E20,'Cadence Reference'!$A$5:$A$12,'Cadence Reference'!$B$5:$B$12),"")</f>
        <v>52</v>
      </c>
      <c r="G20" s="75">
        <v>2000.0</v>
      </c>
      <c r="H20" s="75">
        <v>150.0</v>
      </c>
      <c r="I20" s="78" t="s">
        <v>56</v>
      </c>
      <c r="J20" s="79">
        <f t="array" ref="J20">IFERROR(XLOOKUP(I20,'Pricing Reference'!$B$5:$B$12,'Pricing Reference'!$D$5:$D$12),"")</f>
        <v>0.75</v>
      </c>
      <c r="K20" s="79">
        <f t="array" ref="K20">IFERROR(XLOOKUP(I20,'Pricing Reference'!$B$5:$B$12,'Pricing Reference'!$E$5:$E$12),"")</f>
        <v>4.5</v>
      </c>
      <c r="L20" s="80">
        <v>0.05</v>
      </c>
      <c r="M20" s="81">
        <v>1.0</v>
      </c>
      <c r="N20" s="72">
        <f t="shared" si="2"/>
        <v>0.002175</v>
      </c>
      <c r="O20" s="72">
        <f t="shared" si="3"/>
        <v>0.00228375</v>
      </c>
      <c r="P20" s="72">
        <f t="shared" si="4"/>
        <v>4.5675</v>
      </c>
      <c r="Q20" s="82">
        <f t="shared" si="5"/>
        <v>237.51</v>
      </c>
      <c r="R20" s="72"/>
      <c r="S20" s="73" t="str">
        <f t="shared" si="6"/>
        <v/>
      </c>
      <c r="T20" s="74" t="s">
        <v>161</v>
      </c>
      <c r="U20" s="34"/>
      <c r="V20" s="34" t="str">
        <f t="shared" si="7"/>
        <v/>
      </c>
      <c r="W20" s="2"/>
      <c r="X20" s="2"/>
      <c r="Y20" s="2"/>
      <c r="Z20" s="2"/>
    </row>
    <row r="21" ht="37.5" customHeight="1">
      <c r="A21" s="83" t="s">
        <v>162</v>
      </c>
      <c r="B21" s="83" t="s">
        <v>112</v>
      </c>
      <c r="C21" s="83" t="s">
        <v>163</v>
      </c>
      <c r="D21" s="84">
        <v>5000.0</v>
      </c>
      <c r="E21" s="85" t="s">
        <v>85</v>
      </c>
      <c r="F21" s="86">
        <f t="array" ref="F21">IFERROR(XLOOKUP(E21,'Cadence Reference'!$A$5:$A$12,'Cadence Reference'!$B$5:$B$12),"")</f>
        <v>260</v>
      </c>
      <c r="G21" s="84">
        <v>1000.0</v>
      </c>
      <c r="H21" s="84">
        <v>0.0</v>
      </c>
      <c r="I21" s="87" t="s">
        <v>58</v>
      </c>
      <c r="J21" s="88">
        <f t="array" ref="J21">IFERROR(XLOOKUP(I21,'Pricing Reference'!$B$5:$B$12,'Pricing Reference'!$D$5:$D$12),"")</f>
        <v>0.02</v>
      </c>
      <c r="K21" s="88">
        <f t="array" ref="K21">IFERROR(XLOOKUP(I21,'Pricing Reference'!$B$5:$B$12,'Pricing Reference'!$E$5:$E$12),"")</f>
        <v>0</v>
      </c>
      <c r="L21" s="89">
        <v>0.02</v>
      </c>
      <c r="M21" s="90">
        <v>1.0</v>
      </c>
      <c r="N21" s="61">
        <f t="shared" si="2"/>
        <v>0.00002</v>
      </c>
      <c r="O21" s="61">
        <f t="shared" si="3"/>
        <v>0.0000204</v>
      </c>
      <c r="P21" s="61">
        <f t="shared" si="4"/>
        <v>0.102</v>
      </c>
      <c r="Q21" s="91">
        <f t="shared" si="5"/>
        <v>26.52</v>
      </c>
      <c r="R21" s="61"/>
      <c r="S21" s="62" t="str">
        <f t="shared" si="6"/>
        <v/>
      </c>
      <c r="T21" s="83" t="s">
        <v>164</v>
      </c>
      <c r="U21" s="31"/>
      <c r="V21" s="31" t="str">
        <f t="shared" si="7"/>
        <v/>
      </c>
      <c r="W21" s="2"/>
      <c r="X21" s="2"/>
      <c r="Y21" s="2"/>
      <c r="Z21" s="2"/>
    </row>
    <row r="22" ht="37.5" customHeight="1">
      <c r="A22" s="92"/>
      <c r="B22" s="92"/>
      <c r="C22" s="92"/>
      <c r="D22" s="77"/>
      <c r="E22" s="93"/>
      <c r="F22" s="77" t="str">
        <f t="array" ref="F22">IFERROR(XLOOKUP(E22,'Cadence Reference'!$A$5:$A$12,'Cadence Reference'!$B$5:$B$12),"")</f>
        <v/>
      </c>
      <c r="G22" s="77"/>
      <c r="H22" s="77"/>
      <c r="I22" s="94"/>
      <c r="J22" s="79" t="str">
        <f t="array" ref="J22">IFERROR(XLOOKUP(I22,'Pricing Reference'!$B$5:$B$12,'Pricing Reference'!$D$5:$D$12),"")</f>
        <v/>
      </c>
      <c r="K22" s="79" t="str">
        <f t="array" ref="K22">IFERROR(XLOOKUP(I22,'Pricing Reference'!$B$5:$B$12,'Pricing Reference'!$E$5:$E$12),"")</f>
        <v/>
      </c>
      <c r="L22" s="73"/>
      <c r="M22" s="95"/>
      <c r="N22" s="72" t="str">
        <f t="shared" si="2"/>
        <v/>
      </c>
      <c r="O22" s="72" t="str">
        <f t="shared" si="3"/>
        <v/>
      </c>
      <c r="P22" s="72" t="str">
        <f t="shared" si="4"/>
        <v/>
      </c>
      <c r="Q22" s="82" t="str">
        <f t="shared" si="5"/>
        <v/>
      </c>
      <c r="R22" s="72"/>
      <c r="S22" s="73" t="str">
        <f t="shared" si="6"/>
        <v/>
      </c>
      <c r="T22" s="34"/>
      <c r="U22" s="34"/>
      <c r="V22" s="34" t="str">
        <f t="shared" si="7"/>
        <v/>
      </c>
      <c r="W22" s="2"/>
      <c r="X22" s="2"/>
      <c r="Y22" s="2"/>
      <c r="Z22" s="2"/>
    </row>
    <row r="23" ht="37.5" customHeight="1">
      <c r="A23" s="96"/>
      <c r="B23" s="96"/>
      <c r="C23" s="96"/>
      <c r="D23" s="86"/>
      <c r="E23" s="97"/>
      <c r="F23" s="86" t="str">
        <f t="array" ref="F23">IFERROR(XLOOKUP(E23,'Cadence Reference'!$A$5:$A$12,'Cadence Reference'!$B$5:$B$12),"")</f>
        <v/>
      </c>
      <c r="G23" s="86"/>
      <c r="H23" s="86"/>
      <c r="I23" s="98"/>
      <c r="J23" s="88" t="str">
        <f t="array" ref="J23">IFERROR(XLOOKUP(I23,'Pricing Reference'!$B$5:$B$12,'Pricing Reference'!$D$5:$D$12),"")</f>
        <v/>
      </c>
      <c r="K23" s="88" t="str">
        <f t="array" ref="K23">IFERROR(XLOOKUP(I23,'Pricing Reference'!$B$5:$B$12,'Pricing Reference'!$E$5:$E$12),"")</f>
        <v/>
      </c>
      <c r="L23" s="62"/>
      <c r="M23" s="99"/>
      <c r="N23" s="61" t="str">
        <f t="shared" si="2"/>
        <v/>
      </c>
      <c r="O23" s="61" t="str">
        <f t="shared" si="3"/>
        <v/>
      </c>
      <c r="P23" s="61" t="str">
        <f t="shared" si="4"/>
        <v/>
      </c>
      <c r="Q23" s="91" t="str">
        <f t="shared" si="5"/>
        <v/>
      </c>
      <c r="R23" s="61"/>
      <c r="S23" s="62" t="str">
        <f t="shared" si="6"/>
        <v/>
      </c>
      <c r="T23" s="31"/>
      <c r="U23" s="31"/>
      <c r="V23" s="31" t="str">
        <f t="shared" si="7"/>
        <v/>
      </c>
      <c r="W23" s="2"/>
      <c r="X23" s="2"/>
      <c r="Y23" s="2"/>
      <c r="Z23" s="2"/>
    </row>
    <row r="24" ht="37.5" customHeight="1">
      <c r="A24" s="92"/>
      <c r="B24" s="92"/>
      <c r="C24" s="92"/>
      <c r="D24" s="77"/>
      <c r="E24" s="93"/>
      <c r="F24" s="77" t="str">
        <f t="array" ref="F24">IFERROR(XLOOKUP(E24,'Cadence Reference'!$A$5:$A$12,'Cadence Reference'!$B$5:$B$12),"")</f>
        <v/>
      </c>
      <c r="G24" s="77"/>
      <c r="H24" s="77"/>
      <c r="I24" s="94"/>
      <c r="J24" s="79" t="str">
        <f t="array" ref="J24">IFERROR(XLOOKUP(I24,'Pricing Reference'!$B$5:$B$12,'Pricing Reference'!$D$5:$D$12),"")</f>
        <v/>
      </c>
      <c r="K24" s="79" t="str">
        <f t="array" ref="K24">IFERROR(XLOOKUP(I24,'Pricing Reference'!$B$5:$B$12,'Pricing Reference'!$E$5:$E$12),"")</f>
        <v/>
      </c>
      <c r="L24" s="73"/>
      <c r="M24" s="95"/>
      <c r="N24" s="72" t="str">
        <f t="shared" si="2"/>
        <v/>
      </c>
      <c r="O24" s="72" t="str">
        <f t="shared" si="3"/>
        <v/>
      </c>
      <c r="P24" s="72" t="str">
        <f t="shared" si="4"/>
        <v/>
      </c>
      <c r="Q24" s="82" t="str">
        <f t="shared" si="5"/>
        <v/>
      </c>
      <c r="R24" s="72"/>
      <c r="S24" s="73" t="str">
        <f t="shared" si="6"/>
        <v/>
      </c>
      <c r="T24" s="34"/>
      <c r="U24" s="34"/>
      <c r="V24" s="34" t="str">
        <f t="shared" si="7"/>
        <v/>
      </c>
      <c r="W24" s="2"/>
      <c r="X24" s="2"/>
      <c r="Y24" s="2"/>
      <c r="Z24" s="2"/>
    </row>
    <row r="25" ht="37.5" customHeight="1">
      <c r="A25" s="96"/>
      <c r="B25" s="96"/>
      <c r="C25" s="96"/>
      <c r="D25" s="86"/>
      <c r="E25" s="97"/>
      <c r="F25" s="86" t="str">
        <f t="array" ref="F25">IFERROR(XLOOKUP(E25,'Cadence Reference'!$A$5:$A$12,'Cadence Reference'!$B$5:$B$12),"")</f>
        <v/>
      </c>
      <c r="G25" s="86"/>
      <c r="H25" s="86"/>
      <c r="I25" s="98"/>
      <c r="J25" s="88" t="str">
        <f t="array" ref="J25">IFERROR(XLOOKUP(I25,'Pricing Reference'!$B$5:$B$12,'Pricing Reference'!$D$5:$D$12),"")</f>
        <v/>
      </c>
      <c r="K25" s="88" t="str">
        <f t="array" ref="K25">IFERROR(XLOOKUP(I25,'Pricing Reference'!$B$5:$B$12,'Pricing Reference'!$E$5:$E$12),"")</f>
        <v/>
      </c>
      <c r="L25" s="62"/>
      <c r="M25" s="99"/>
      <c r="N25" s="61" t="str">
        <f t="shared" si="2"/>
        <v/>
      </c>
      <c r="O25" s="61" t="str">
        <f t="shared" si="3"/>
        <v/>
      </c>
      <c r="P25" s="61" t="str">
        <f t="shared" si="4"/>
        <v/>
      </c>
      <c r="Q25" s="91" t="str">
        <f t="shared" si="5"/>
        <v/>
      </c>
      <c r="R25" s="61"/>
      <c r="S25" s="62" t="str">
        <f t="shared" si="6"/>
        <v/>
      </c>
      <c r="T25" s="31"/>
      <c r="U25" s="31"/>
      <c r="V25" s="31" t="str">
        <f t="shared" si="7"/>
        <v/>
      </c>
      <c r="W25" s="2"/>
      <c r="X25" s="2"/>
      <c r="Y25" s="2"/>
      <c r="Z25" s="2"/>
    </row>
    <row r="26" ht="37.5" customHeight="1">
      <c r="A26" s="92"/>
      <c r="B26" s="92"/>
      <c r="C26" s="92"/>
      <c r="D26" s="77"/>
      <c r="E26" s="93"/>
      <c r="F26" s="77" t="str">
        <f t="array" ref="F26">IFERROR(XLOOKUP(E26,'Cadence Reference'!$A$5:$A$12,'Cadence Reference'!$B$5:$B$12),"")</f>
        <v/>
      </c>
      <c r="G26" s="77"/>
      <c r="H26" s="77"/>
      <c r="I26" s="94"/>
      <c r="J26" s="79" t="str">
        <f t="array" ref="J26">IFERROR(XLOOKUP(I26,'Pricing Reference'!$B$5:$B$12,'Pricing Reference'!$D$5:$D$12),"")</f>
        <v/>
      </c>
      <c r="K26" s="79" t="str">
        <f t="array" ref="K26">IFERROR(XLOOKUP(I26,'Pricing Reference'!$B$5:$B$12,'Pricing Reference'!$E$5:$E$12),"")</f>
        <v/>
      </c>
      <c r="L26" s="73"/>
      <c r="M26" s="95"/>
      <c r="N26" s="72" t="str">
        <f t="shared" si="2"/>
        <v/>
      </c>
      <c r="O26" s="72" t="str">
        <f t="shared" si="3"/>
        <v/>
      </c>
      <c r="P26" s="72" t="str">
        <f t="shared" si="4"/>
        <v/>
      </c>
      <c r="Q26" s="82" t="str">
        <f t="shared" si="5"/>
        <v/>
      </c>
      <c r="R26" s="72"/>
      <c r="S26" s="73" t="str">
        <f t="shared" si="6"/>
        <v/>
      </c>
      <c r="T26" s="34"/>
      <c r="U26" s="34"/>
      <c r="V26" s="34" t="str">
        <f t="shared" si="7"/>
        <v/>
      </c>
      <c r="W26" s="2"/>
      <c r="X26" s="2"/>
      <c r="Y26" s="2"/>
      <c r="Z26" s="2"/>
    </row>
    <row r="27" ht="37.5" customHeight="1">
      <c r="A27" s="96"/>
      <c r="B27" s="96"/>
      <c r="C27" s="96"/>
      <c r="D27" s="86"/>
      <c r="E27" s="97"/>
      <c r="F27" s="86" t="str">
        <f t="array" ref="F27">IFERROR(XLOOKUP(E27,'Cadence Reference'!$A$5:$A$12,'Cadence Reference'!$B$5:$B$12),"")</f>
        <v/>
      </c>
      <c r="G27" s="86"/>
      <c r="H27" s="86"/>
      <c r="I27" s="98"/>
      <c r="J27" s="88" t="str">
        <f t="array" ref="J27">IFERROR(XLOOKUP(I27,'Pricing Reference'!$B$5:$B$12,'Pricing Reference'!$D$5:$D$12),"")</f>
        <v/>
      </c>
      <c r="K27" s="88" t="str">
        <f t="array" ref="K27">IFERROR(XLOOKUP(I27,'Pricing Reference'!$B$5:$B$12,'Pricing Reference'!$E$5:$E$12),"")</f>
        <v/>
      </c>
      <c r="L27" s="62"/>
      <c r="M27" s="99"/>
      <c r="N27" s="61" t="str">
        <f t="shared" si="2"/>
        <v/>
      </c>
      <c r="O27" s="61" t="str">
        <f t="shared" si="3"/>
        <v/>
      </c>
      <c r="P27" s="61" t="str">
        <f t="shared" si="4"/>
        <v/>
      </c>
      <c r="Q27" s="91" t="str">
        <f t="shared" si="5"/>
        <v/>
      </c>
      <c r="R27" s="61"/>
      <c r="S27" s="62" t="str">
        <f t="shared" si="6"/>
        <v/>
      </c>
      <c r="T27" s="31"/>
      <c r="U27" s="31"/>
      <c r="V27" s="31" t="str">
        <f t="shared" si="7"/>
        <v/>
      </c>
      <c r="W27" s="2"/>
      <c r="X27" s="2"/>
      <c r="Y27" s="2"/>
      <c r="Z27" s="2"/>
    </row>
    <row r="28" ht="37.5" customHeight="1">
      <c r="A28" s="92"/>
      <c r="B28" s="92"/>
      <c r="C28" s="92"/>
      <c r="D28" s="77"/>
      <c r="E28" s="93"/>
      <c r="F28" s="77" t="str">
        <f t="array" ref="F28">IFERROR(XLOOKUP(E28,'Cadence Reference'!$A$5:$A$12,'Cadence Reference'!$B$5:$B$12),"")</f>
        <v/>
      </c>
      <c r="G28" s="77"/>
      <c r="H28" s="77"/>
      <c r="I28" s="94"/>
      <c r="J28" s="79" t="str">
        <f t="array" ref="J28">IFERROR(XLOOKUP(I28,'Pricing Reference'!$B$5:$B$12,'Pricing Reference'!$D$5:$D$12),"")</f>
        <v/>
      </c>
      <c r="K28" s="79" t="str">
        <f t="array" ref="K28">IFERROR(XLOOKUP(I28,'Pricing Reference'!$B$5:$B$12,'Pricing Reference'!$E$5:$E$12),"")</f>
        <v/>
      </c>
      <c r="L28" s="73"/>
      <c r="M28" s="95"/>
      <c r="N28" s="72" t="str">
        <f t="shared" si="2"/>
        <v/>
      </c>
      <c r="O28" s="72" t="str">
        <f t="shared" si="3"/>
        <v/>
      </c>
      <c r="P28" s="72" t="str">
        <f t="shared" si="4"/>
        <v/>
      </c>
      <c r="Q28" s="82" t="str">
        <f t="shared" si="5"/>
        <v/>
      </c>
      <c r="R28" s="72"/>
      <c r="S28" s="73" t="str">
        <f t="shared" si="6"/>
        <v/>
      </c>
      <c r="T28" s="34"/>
      <c r="U28" s="34"/>
      <c r="V28" s="34" t="str">
        <f t="shared" si="7"/>
        <v/>
      </c>
      <c r="W28" s="2"/>
      <c r="X28" s="2"/>
      <c r="Y28" s="2"/>
      <c r="Z28" s="2"/>
    </row>
    <row r="29" ht="37.5" customHeight="1">
      <c r="A29" s="96"/>
      <c r="B29" s="96"/>
      <c r="C29" s="96"/>
      <c r="D29" s="86"/>
      <c r="E29" s="97"/>
      <c r="F29" s="86" t="str">
        <f t="array" ref="F29">IFERROR(XLOOKUP(E29,'Cadence Reference'!$A$5:$A$12,'Cadence Reference'!$B$5:$B$12),"")</f>
        <v/>
      </c>
      <c r="G29" s="86"/>
      <c r="H29" s="86"/>
      <c r="I29" s="98"/>
      <c r="J29" s="88" t="str">
        <f t="array" ref="J29">IFERROR(XLOOKUP(I29,'Pricing Reference'!$B$5:$B$12,'Pricing Reference'!$D$5:$D$12),"")</f>
        <v/>
      </c>
      <c r="K29" s="88" t="str">
        <f t="array" ref="K29">IFERROR(XLOOKUP(I29,'Pricing Reference'!$B$5:$B$12,'Pricing Reference'!$E$5:$E$12),"")</f>
        <v/>
      </c>
      <c r="L29" s="62"/>
      <c r="M29" s="99"/>
      <c r="N29" s="61" t="str">
        <f t="shared" si="2"/>
        <v/>
      </c>
      <c r="O29" s="61" t="str">
        <f t="shared" si="3"/>
        <v/>
      </c>
      <c r="P29" s="61" t="str">
        <f t="shared" si="4"/>
        <v/>
      </c>
      <c r="Q29" s="91" t="str">
        <f t="shared" si="5"/>
        <v/>
      </c>
      <c r="R29" s="61"/>
      <c r="S29" s="62" t="str">
        <f t="shared" si="6"/>
        <v/>
      </c>
      <c r="T29" s="31"/>
      <c r="U29" s="31"/>
      <c r="V29" s="31" t="str">
        <f t="shared" si="7"/>
        <v/>
      </c>
      <c r="W29" s="2"/>
      <c r="X29" s="2"/>
      <c r="Y29" s="2"/>
      <c r="Z29" s="2"/>
    </row>
    <row r="30" ht="37.5" customHeight="1">
      <c r="A30" s="92"/>
      <c r="B30" s="92"/>
      <c r="C30" s="92"/>
      <c r="D30" s="77"/>
      <c r="E30" s="93"/>
      <c r="F30" s="77" t="str">
        <f t="array" ref="F30">IFERROR(XLOOKUP(E30,'Cadence Reference'!$A$5:$A$12,'Cadence Reference'!$B$5:$B$12),"")</f>
        <v/>
      </c>
      <c r="G30" s="77"/>
      <c r="H30" s="77"/>
      <c r="I30" s="94"/>
      <c r="J30" s="79" t="str">
        <f t="array" ref="J30">IFERROR(XLOOKUP(I30,'Pricing Reference'!$B$5:$B$12,'Pricing Reference'!$D$5:$D$12),"")</f>
        <v/>
      </c>
      <c r="K30" s="79" t="str">
        <f t="array" ref="K30">IFERROR(XLOOKUP(I30,'Pricing Reference'!$B$5:$B$12,'Pricing Reference'!$E$5:$E$12),"")</f>
        <v/>
      </c>
      <c r="L30" s="73"/>
      <c r="M30" s="95"/>
      <c r="N30" s="72" t="str">
        <f t="shared" si="2"/>
        <v/>
      </c>
      <c r="O30" s="72" t="str">
        <f t="shared" si="3"/>
        <v/>
      </c>
      <c r="P30" s="72" t="str">
        <f t="shared" si="4"/>
        <v/>
      </c>
      <c r="Q30" s="82" t="str">
        <f t="shared" si="5"/>
        <v/>
      </c>
      <c r="R30" s="72"/>
      <c r="S30" s="73" t="str">
        <f t="shared" si="6"/>
        <v/>
      </c>
      <c r="T30" s="34"/>
      <c r="U30" s="34"/>
      <c r="V30" s="34" t="str">
        <f t="shared" si="7"/>
        <v/>
      </c>
      <c r="W30" s="2"/>
      <c r="X30" s="2"/>
      <c r="Y30" s="2"/>
      <c r="Z30" s="2"/>
    </row>
    <row r="31" ht="37.5" customHeight="1">
      <c r="A31" s="96"/>
      <c r="B31" s="96"/>
      <c r="C31" s="96"/>
      <c r="D31" s="86"/>
      <c r="E31" s="97"/>
      <c r="F31" s="86" t="str">
        <f t="array" ref="F31">IFERROR(XLOOKUP(E31,'Cadence Reference'!$A$5:$A$12,'Cadence Reference'!$B$5:$B$12),"")</f>
        <v/>
      </c>
      <c r="G31" s="86"/>
      <c r="H31" s="86"/>
      <c r="I31" s="98"/>
      <c r="J31" s="88" t="str">
        <f t="array" ref="J31">IFERROR(XLOOKUP(I31,'Pricing Reference'!$B$5:$B$12,'Pricing Reference'!$D$5:$D$12),"")</f>
        <v/>
      </c>
      <c r="K31" s="88" t="str">
        <f t="array" ref="K31">IFERROR(XLOOKUP(I31,'Pricing Reference'!$B$5:$B$12,'Pricing Reference'!$E$5:$E$12),"")</f>
        <v/>
      </c>
      <c r="L31" s="62"/>
      <c r="M31" s="99"/>
      <c r="N31" s="61" t="str">
        <f t="shared" si="2"/>
        <v/>
      </c>
      <c r="O31" s="61" t="str">
        <f t="shared" si="3"/>
        <v/>
      </c>
      <c r="P31" s="61" t="str">
        <f t="shared" si="4"/>
        <v/>
      </c>
      <c r="Q31" s="91" t="str">
        <f t="shared" si="5"/>
        <v/>
      </c>
      <c r="R31" s="61"/>
      <c r="S31" s="62" t="str">
        <f t="shared" si="6"/>
        <v/>
      </c>
      <c r="T31" s="31"/>
      <c r="U31" s="31"/>
      <c r="V31" s="31" t="str">
        <f t="shared" si="7"/>
        <v/>
      </c>
      <c r="W31" s="2"/>
      <c r="X31" s="2"/>
      <c r="Y31" s="2"/>
      <c r="Z31" s="2"/>
    </row>
    <row r="32" ht="37.5" customHeight="1">
      <c r="A32" s="92"/>
      <c r="B32" s="92"/>
      <c r="C32" s="92"/>
      <c r="D32" s="77"/>
      <c r="E32" s="93"/>
      <c r="F32" s="77" t="str">
        <f t="array" ref="F32">IFERROR(XLOOKUP(E32,'Cadence Reference'!$A$5:$A$12,'Cadence Reference'!$B$5:$B$12),"")</f>
        <v/>
      </c>
      <c r="G32" s="77"/>
      <c r="H32" s="77"/>
      <c r="I32" s="94"/>
      <c r="J32" s="79" t="str">
        <f t="array" ref="J32">IFERROR(XLOOKUP(I32,'Pricing Reference'!$B$5:$B$12,'Pricing Reference'!$D$5:$D$12),"")</f>
        <v/>
      </c>
      <c r="K32" s="79" t="str">
        <f t="array" ref="K32">IFERROR(XLOOKUP(I32,'Pricing Reference'!$B$5:$B$12,'Pricing Reference'!$E$5:$E$12),"")</f>
        <v/>
      </c>
      <c r="L32" s="73"/>
      <c r="M32" s="95"/>
      <c r="N32" s="72" t="str">
        <f t="shared" si="2"/>
        <v/>
      </c>
      <c r="O32" s="72" t="str">
        <f t="shared" si="3"/>
        <v/>
      </c>
      <c r="P32" s="72" t="str">
        <f t="shared" si="4"/>
        <v/>
      </c>
      <c r="Q32" s="82" t="str">
        <f t="shared" si="5"/>
        <v/>
      </c>
      <c r="R32" s="72"/>
      <c r="S32" s="73" t="str">
        <f t="shared" si="6"/>
        <v/>
      </c>
      <c r="T32" s="34"/>
      <c r="U32" s="34"/>
      <c r="V32" s="34" t="str">
        <f t="shared" si="7"/>
        <v/>
      </c>
      <c r="W32" s="2"/>
      <c r="X32" s="2"/>
      <c r="Y32" s="2"/>
      <c r="Z32" s="2"/>
    </row>
    <row r="33" ht="37.5" customHeight="1">
      <c r="A33" s="96"/>
      <c r="B33" s="96"/>
      <c r="C33" s="96"/>
      <c r="D33" s="86"/>
      <c r="E33" s="97"/>
      <c r="F33" s="86" t="str">
        <f t="array" ref="F33">IFERROR(XLOOKUP(E33,'Cadence Reference'!$A$5:$A$12,'Cadence Reference'!$B$5:$B$12),"")</f>
        <v/>
      </c>
      <c r="G33" s="86"/>
      <c r="H33" s="86"/>
      <c r="I33" s="98"/>
      <c r="J33" s="88" t="str">
        <f t="array" ref="J33">IFERROR(XLOOKUP(I33,'Pricing Reference'!$B$5:$B$12,'Pricing Reference'!$D$5:$D$12),"")</f>
        <v/>
      </c>
      <c r="K33" s="88" t="str">
        <f t="array" ref="K33">IFERROR(XLOOKUP(I33,'Pricing Reference'!$B$5:$B$12,'Pricing Reference'!$E$5:$E$12),"")</f>
        <v/>
      </c>
      <c r="L33" s="62"/>
      <c r="M33" s="99"/>
      <c r="N33" s="61" t="str">
        <f t="shared" si="2"/>
        <v/>
      </c>
      <c r="O33" s="61" t="str">
        <f t="shared" si="3"/>
        <v/>
      </c>
      <c r="P33" s="61" t="str">
        <f t="shared" si="4"/>
        <v/>
      </c>
      <c r="Q33" s="91" t="str">
        <f t="shared" si="5"/>
        <v/>
      </c>
      <c r="R33" s="61"/>
      <c r="S33" s="62" t="str">
        <f t="shared" si="6"/>
        <v/>
      </c>
      <c r="T33" s="31"/>
      <c r="U33" s="31"/>
      <c r="V33" s="31" t="str">
        <f t="shared" si="7"/>
        <v/>
      </c>
      <c r="W33" s="2"/>
      <c r="X33" s="2"/>
      <c r="Y33" s="2"/>
      <c r="Z33" s="2"/>
    </row>
    <row r="34" ht="37.5" customHeight="1">
      <c r="A34" s="92"/>
      <c r="B34" s="92"/>
      <c r="C34" s="92"/>
      <c r="D34" s="77"/>
      <c r="E34" s="93"/>
      <c r="F34" s="77" t="str">
        <f t="array" ref="F34">IFERROR(XLOOKUP(E34,'Cadence Reference'!$A$5:$A$12,'Cadence Reference'!$B$5:$B$12),"")</f>
        <v/>
      </c>
      <c r="G34" s="77"/>
      <c r="H34" s="77"/>
      <c r="I34" s="94"/>
      <c r="J34" s="79" t="str">
        <f t="array" ref="J34">IFERROR(XLOOKUP(I34,'Pricing Reference'!$B$5:$B$12,'Pricing Reference'!$D$5:$D$12),"")</f>
        <v/>
      </c>
      <c r="K34" s="79" t="str">
        <f t="array" ref="K34">IFERROR(XLOOKUP(I34,'Pricing Reference'!$B$5:$B$12,'Pricing Reference'!$E$5:$E$12),"")</f>
        <v/>
      </c>
      <c r="L34" s="73"/>
      <c r="M34" s="95"/>
      <c r="N34" s="72" t="str">
        <f t="shared" si="2"/>
        <v/>
      </c>
      <c r="O34" s="72" t="str">
        <f t="shared" si="3"/>
        <v/>
      </c>
      <c r="P34" s="72" t="str">
        <f t="shared" si="4"/>
        <v/>
      </c>
      <c r="Q34" s="82" t="str">
        <f t="shared" si="5"/>
        <v/>
      </c>
      <c r="R34" s="72"/>
      <c r="S34" s="73" t="str">
        <f t="shared" si="6"/>
        <v/>
      </c>
      <c r="T34" s="34"/>
      <c r="U34" s="34"/>
      <c r="V34" s="34" t="str">
        <f t="shared" si="7"/>
        <v/>
      </c>
      <c r="W34" s="2"/>
      <c r="X34" s="2"/>
      <c r="Y34" s="2"/>
      <c r="Z34" s="2"/>
    </row>
    <row r="35" ht="37.5" customHeight="1">
      <c r="A35" s="96"/>
      <c r="B35" s="96"/>
      <c r="C35" s="96"/>
      <c r="D35" s="86"/>
      <c r="E35" s="97"/>
      <c r="F35" s="86" t="str">
        <f t="array" ref="F35">IFERROR(XLOOKUP(E35,'Cadence Reference'!$A$5:$A$12,'Cadence Reference'!$B$5:$B$12),"")</f>
        <v/>
      </c>
      <c r="G35" s="86"/>
      <c r="H35" s="86"/>
      <c r="I35" s="98"/>
      <c r="J35" s="88" t="str">
        <f t="array" ref="J35">IFERROR(XLOOKUP(I35,'Pricing Reference'!$B$5:$B$12,'Pricing Reference'!$D$5:$D$12),"")</f>
        <v/>
      </c>
      <c r="K35" s="88" t="str">
        <f t="array" ref="K35">IFERROR(XLOOKUP(I35,'Pricing Reference'!$B$5:$B$12,'Pricing Reference'!$E$5:$E$12),"")</f>
        <v/>
      </c>
      <c r="L35" s="62"/>
      <c r="M35" s="99"/>
      <c r="N35" s="61" t="str">
        <f t="shared" si="2"/>
        <v/>
      </c>
      <c r="O35" s="61" t="str">
        <f t="shared" si="3"/>
        <v/>
      </c>
      <c r="P35" s="61" t="str">
        <f t="shared" si="4"/>
        <v/>
      </c>
      <c r="Q35" s="91" t="str">
        <f t="shared" si="5"/>
        <v/>
      </c>
      <c r="R35" s="61"/>
      <c r="S35" s="62" t="str">
        <f t="shared" si="6"/>
        <v/>
      </c>
      <c r="T35" s="31"/>
      <c r="U35" s="31"/>
      <c r="V35" s="31" t="str">
        <f t="shared" si="7"/>
        <v/>
      </c>
      <c r="W35" s="2"/>
      <c r="X35" s="2"/>
      <c r="Y35" s="2"/>
      <c r="Z35" s="2"/>
    </row>
    <row r="36" ht="37.5" customHeight="1">
      <c r="A36" s="92"/>
      <c r="B36" s="92"/>
      <c r="C36" s="92"/>
      <c r="D36" s="77"/>
      <c r="E36" s="93"/>
      <c r="F36" s="77" t="str">
        <f t="array" ref="F36">IFERROR(XLOOKUP(E36,'Cadence Reference'!$A$5:$A$12,'Cadence Reference'!$B$5:$B$12),"")</f>
        <v/>
      </c>
      <c r="G36" s="77"/>
      <c r="H36" s="77"/>
      <c r="I36" s="94"/>
      <c r="J36" s="79" t="str">
        <f t="array" ref="J36">IFERROR(XLOOKUP(I36,'Pricing Reference'!$B$5:$B$12,'Pricing Reference'!$D$5:$D$12),"")</f>
        <v/>
      </c>
      <c r="K36" s="79" t="str">
        <f t="array" ref="K36">IFERROR(XLOOKUP(I36,'Pricing Reference'!$B$5:$B$12,'Pricing Reference'!$E$5:$E$12),"")</f>
        <v/>
      </c>
      <c r="L36" s="73"/>
      <c r="M36" s="95"/>
      <c r="N36" s="72" t="str">
        <f t="shared" si="2"/>
        <v/>
      </c>
      <c r="O36" s="72" t="str">
        <f t="shared" si="3"/>
        <v/>
      </c>
      <c r="P36" s="72" t="str">
        <f t="shared" si="4"/>
        <v/>
      </c>
      <c r="Q36" s="82" t="str">
        <f t="shared" si="5"/>
        <v/>
      </c>
      <c r="R36" s="72"/>
      <c r="S36" s="73" t="str">
        <f t="shared" si="6"/>
        <v/>
      </c>
      <c r="T36" s="34"/>
      <c r="U36" s="34"/>
      <c r="V36" s="34" t="str">
        <f t="shared" si="7"/>
        <v/>
      </c>
      <c r="W36" s="2"/>
      <c r="X36" s="2"/>
      <c r="Y36" s="2"/>
      <c r="Z36" s="2"/>
    </row>
    <row r="37" ht="37.5" customHeight="1">
      <c r="A37" s="96"/>
      <c r="B37" s="96"/>
      <c r="C37" s="96"/>
      <c r="D37" s="86"/>
      <c r="E37" s="97"/>
      <c r="F37" s="86" t="str">
        <f t="array" ref="F37">IFERROR(XLOOKUP(E37,'Cadence Reference'!$A$5:$A$12,'Cadence Reference'!$B$5:$B$12),"")</f>
        <v/>
      </c>
      <c r="G37" s="86"/>
      <c r="H37" s="86"/>
      <c r="I37" s="98"/>
      <c r="J37" s="88" t="str">
        <f t="array" ref="J37">IFERROR(XLOOKUP(I37,'Pricing Reference'!$B$5:$B$12,'Pricing Reference'!$D$5:$D$12),"")</f>
        <v/>
      </c>
      <c r="K37" s="88" t="str">
        <f t="array" ref="K37">IFERROR(XLOOKUP(I37,'Pricing Reference'!$B$5:$B$12,'Pricing Reference'!$E$5:$E$12),"")</f>
        <v/>
      </c>
      <c r="L37" s="62"/>
      <c r="M37" s="99"/>
      <c r="N37" s="61" t="str">
        <f t="shared" si="2"/>
        <v/>
      </c>
      <c r="O37" s="61" t="str">
        <f t="shared" si="3"/>
        <v/>
      </c>
      <c r="P37" s="61" t="str">
        <f t="shared" si="4"/>
        <v/>
      </c>
      <c r="Q37" s="91" t="str">
        <f t="shared" si="5"/>
        <v/>
      </c>
      <c r="R37" s="61"/>
      <c r="S37" s="62" t="str">
        <f t="shared" si="6"/>
        <v/>
      </c>
      <c r="T37" s="31"/>
      <c r="U37" s="31"/>
      <c r="V37" s="31" t="str">
        <f t="shared" si="7"/>
        <v/>
      </c>
      <c r="W37" s="2"/>
      <c r="X37" s="2"/>
      <c r="Y37" s="2"/>
      <c r="Z37" s="2"/>
    </row>
    <row r="38" ht="37.5" customHeight="1">
      <c r="A38" s="92"/>
      <c r="B38" s="92"/>
      <c r="C38" s="92"/>
      <c r="D38" s="77"/>
      <c r="E38" s="93"/>
      <c r="F38" s="77" t="str">
        <f t="array" ref="F38">IFERROR(XLOOKUP(E38,'Cadence Reference'!$A$5:$A$12,'Cadence Reference'!$B$5:$B$12),"")</f>
        <v/>
      </c>
      <c r="G38" s="77"/>
      <c r="H38" s="77"/>
      <c r="I38" s="94"/>
      <c r="J38" s="79" t="str">
        <f t="array" ref="J38">IFERROR(XLOOKUP(I38,'Pricing Reference'!$B$5:$B$12,'Pricing Reference'!$D$5:$D$12),"")</f>
        <v/>
      </c>
      <c r="K38" s="79" t="str">
        <f t="array" ref="K38">IFERROR(XLOOKUP(I38,'Pricing Reference'!$B$5:$B$12,'Pricing Reference'!$E$5:$E$12),"")</f>
        <v/>
      </c>
      <c r="L38" s="73"/>
      <c r="M38" s="95"/>
      <c r="N38" s="72" t="str">
        <f t="shared" si="2"/>
        <v/>
      </c>
      <c r="O38" s="72" t="str">
        <f t="shared" si="3"/>
        <v/>
      </c>
      <c r="P38" s="72" t="str">
        <f t="shared" si="4"/>
        <v/>
      </c>
      <c r="Q38" s="82" t="str">
        <f t="shared" si="5"/>
        <v/>
      </c>
      <c r="R38" s="72"/>
      <c r="S38" s="73" t="str">
        <f t="shared" si="6"/>
        <v/>
      </c>
      <c r="T38" s="34"/>
      <c r="U38" s="34"/>
      <c r="V38" s="34" t="str">
        <f t="shared" si="7"/>
        <v/>
      </c>
      <c r="W38" s="2"/>
      <c r="X38" s="2"/>
      <c r="Y38" s="2"/>
      <c r="Z38" s="2"/>
    </row>
    <row r="39" ht="37.5" customHeight="1">
      <c r="A39" s="96"/>
      <c r="B39" s="96"/>
      <c r="C39" s="96"/>
      <c r="D39" s="86"/>
      <c r="E39" s="97"/>
      <c r="F39" s="86" t="str">
        <f t="array" ref="F39">IFERROR(XLOOKUP(E39,'Cadence Reference'!$A$5:$A$12,'Cadence Reference'!$B$5:$B$12),"")</f>
        <v/>
      </c>
      <c r="G39" s="86"/>
      <c r="H39" s="86"/>
      <c r="I39" s="98"/>
      <c r="J39" s="88" t="str">
        <f t="array" ref="J39">IFERROR(XLOOKUP(I39,'Pricing Reference'!$B$5:$B$12,'Pricing Reference'!$D$5:$D$12),"")</f>
        <v/>
      </c>
      <c r="K39" s="88" t="str">
        <f t="array" ref="K39">IFERROR(XLOOKUP(I39,'Pricing Reference'!$B$5:$B$12,'Pricing Reference'!$E$5:$E$12),"")</f>
        <v/>
      </c>
      <c r="L39" s="62"/>
      <c r="M39" s="99"/>
      <c r="N39" s="61" t="str">
        <f t="shared" si="2"/>
        <v/>
      </c>
      <c r="O39" s="61" t="str">
        <f t="shared" si="3"/>
        <v/>
      </c>
      <c r="P39" s="61" t="str">
        <f t="shared" si="4"/>
        <v/>
      </c>
      <c r="Q39" s="91" t="str">
        <f t="shared" si="5"/>
        <v/>
      </c>
      <c r="R39" s="61"/>
      <c r="S39" s="62" t="str">
        <f t="shared" si="6"/>
        <v/>
      </c>
      <c r="T39" s="31"/>
      <c r="U39" s="31"/>
      <c r="V39" s="31" t="str">
        <f t="shared" si="7"/>
        <v/>
      </c>
      <c r="W39" s="2"/>
      <c r="X39" s="2"/>
      <c r="Y39" s="2"/>
      <c r="Z39" s="2"/>
    </row>
    <row r="40" ht="37.5" customHeight="1">
      <c r="A40" s="92"/>
      <c r="B40" s="92"/>
      <c r="C40" s="92"/>
      <c r="D40" s="77"/>
      <c r="E40" s="93"/>
      <c r="F40" s="77" t="str">
        <f t="array" ref="F40">IFERROR(XLOOKUP(E40,'Cadence Reference'!$A$5:$A$12,'Cadence Reference'!$B$5:$B$12),"")</f>
        <v/>
      </c>
      <c r="G40" s="77"/>
      <c r="H40" s="77"/>
      <c r="I40" s="94"/>
      <c r="J40" s="79" t="str">
        <f t="array" ref="J40">IFERROR(XLOOKUP(I40,'Pricing Reference'!$B$5:$B$12,'Pricing Reference'!$D$5:$D$12),"")</f>
        <v/>
      </c>
      <c r="K40" s="79" t="str">
        <f t="array" ref="K40">IFERROR(XLOOKUP(I40,'Pricing Reference'!$B$5:$B$12,'Pricing Reference'!$E$5:$E$12),"")</f>
        <v/>
      </c>
      <c r="L40" s="73"/>
      <c r="M40" s="95"/>
      <c r="N40" s="72" t="str">
        <f t="shared" si="2"/>
        <v/>
      </c>
      <c r="O40" s="72" t="str">
        <f t="shared" si="3"/>
        <v/>
      </c>
      <c r="P40" s="72" t="str">
        <f t="shared" si="4"/>
        <v/>
      </c>
      <c r="Q40" s="82" t="str">
        <f t="shared" si="5"/>
        <v/>
      </c>
      <c r="R40" s="72"/>
      <c r="S40" s="73" t="str">
        <f t="shared" si="6"/>
        <v/>
      </c>
      <c r="T40" s="34"/>
      <c r="U40" s="34"/>
      <c r="V40" s="34" t="str">
        <f t="shared" si="7"/>
        <v/>
      </c>
      <c r="W40" s="2"/>
      <c r="X40" s="2"/>
      <c r="Y40" s="2"/>
      <c r="Z40" s="2"/>
    </row>
    <row r="41" ht="37.5" customHeight="1">
      <c r="A41" s="96"/>
      <c r="B41" s="96"/>
      <c r="C41" s="96"/>
      <c r="D41" s="86"/>
      <c r="E41" s="97"/>
      <c r="F41" s="86" t="str">
        <f t="array" ref="F41">IFERROR(XLOOKUP(E41,'Cadence Reference'!$A$5:$A$12,'Cadence Reference'!$B$5:$B$12),"")</f>
        <v/>
      </c>
      <c r="G41" s="86"/>
      <c r="H41" s="86"/>
      <c r="I41" s="98"/>
      <c r="J41" s="88" t="str">
        <f t="array" ref="J41">IFERROR(XLOOKUP(I41,'Pricing Reference'!$B$5:$B$12,'Pricing Reference'!$D$5:$D$12),"")</f>
        <v/>
      </c>
      <c r="K41" s="88" t="str">
        <f t="array" ref="K41">IFERROR(XLOOKUP(I41,'Pricing Reference'!$B$5:$B$12,'Pricing Reference'!$E$5:$E$12),"")</f>
        <v/>
      </c>
      <c r="L41" s="62"/>
      <c r="M41" s="99"/>
      <c r="N41" s="61" t="str">
        <f t="shared" si="2"/>
        <v/>
      </c>
      <c r="O41" s="61" t="str">
        <f t="shared" si="3"/>
        <v/>
      </c>
      <c r="P41" s="61" t="str">
        <f t="shared" si="4"/>
        <v/>
      </c>
      <c r="Q41" s="91" t="str">
        <f t="shared" si="5"/>
        <v/>
      </c>
      <c r="R41" s="61"/>
      <c r="S41" s="62" t="str">
        <f t="shared" si="6"/>
        <v/>
      </c>
      <c r="T41" s="31"/>
      <c r="U41" s="31"/>
      <c r="V41" s="31" t="str">
        <f t="shared" si="7"/>
        <v/>
      </c>
      <c r="W41" s="2"/>
      <c r="X41" s="2"/>
      <c r="Y41" s="2"/>
      <c r="Z41" s="2"/>
    </row>
    <row r="42" ht="37.5" customHeight="1">
      <c r="A42" s="92"/>
      <c r="B42" s="92"/>
      <c r="C42" s="92"/>
      <c r="D42" s="77"/>
      <c r="E42" s="93"/>
      <c r="F42" s="77" t="str">
        <f t="array" ref="F42">IFERROR(XLOOKUP(E42,'Cadence Reference'!$A$5:$A$12,'Cadence Reference'!$B$5:$B$12),"")</f>
        <v/>
      </c>
      <c r="G42" s="77"/>
      <c r="H42" s="77"/>
      <c r="I42" s="94"/>
      <c r="J42" s="79" t="str">
        <f t="array" ref="J42">IFERROR(XLOOKUP(I42,'Pricing Reference'!$B$5:$B$12,'Pricing Reference'!$D$5:$D$12),"")</f>
        <v/>
      </c>
      <c r="K42" s="79" t="str">
        <f t="array" ref="K42">IFERROR(XLOOKUP(I42,'Pricing Reference'!$B$5:$B$12,'Pricing Reference'!$E$5:$E$12),"")</f>
        <v/>
      </c>
      <c r="L42" s="73"/>
      <c r="M42" s="95"/>
      <c r="N42" s="72" t="str">
        <f t="shared" si="2"/>
        <v/>
      </c>
      <c r="O42" s="72" t="str">
        <f t="shared" si="3"/>
        <v/>
      </c>
      <c r="P42" s="72" t="str">
        <f t="shared" si="4"/>
        <v/>
      </c>
      <c r="Q42" s="82" t="str">
        <f t="shared" si="5"/>
        <v/>
      </c>
      <c r="R42" s="72"/>
      <c r="S42" s="73" t="str">
        <f t="shared" si="6"/>
        <v/>
      </c>
      <c r="T42" s="34"/>
      <c r="U42" s="34"/>
      <c r="V42" s="34" t="str">
        <f t="shared" si="7"/>
        <v/>
      </c>
      <c r="W42" s="2"/>
      <c r="X42" s="2"/>
      <c r="Y42" s="2"/>
      <c r="Z42" s="2"/>
    </row>
    <row r="43" ht="37.5" customHeight="1">
      <c r="A43" s="96"/>
      <c r="B43" s="96"/>
      <c r="C43" s="96"/>
      <c r="D43" s="86"/>
      <c r="E43" s="97"/>
      <c r="F43" s="86" t="str">
        <f t="array" ref="F43">IFERROR(XLOOKUP(E43,'Cadence Reference'!$A$5:$A$12,'Cadence Reference'!$B$5:$B$12),"")</f>
        <v/>
      </c>
      <c r="G43" s="86"/>
      <c r="H43" s="86"/>
      <c r="I43" s="98"/>
      <c r="J43" s="88" t="str">
        <f t="array" ref="J43">IFERROR(XLOOKUP(I43,'Pricing Reference'!$B$5:$B$12,'Pricing Reference'!$D$5:$D$12),"")</f>
        <v/>
      </c>
      <c r="K43" s="88" t="str">
        <f t="array" ref="K43">IFERROR(XLOOKUP(I43,'Pricing Reference'!$B$5:$B$12,'Pricing Reference'!$E$5:$E$12),"")</f>
        <v/>
      </c>
      <c r="L43" s="62"/>
      <c r="M43" s="99"/>
      <c r="N43" s="61" t="str">
        <f t="shared" si="2"/>
        <v/>
      </c>
      <c r="O43" s="61" t="str">
        <f t="shared" si="3"/>
        <v/>
      </c>
      <c r="P43" s="61" t="str">
        <f t="shared" si="4"/>
        <v/>
      </c>
      <c r="Q43" s="91" t="str">
        <f t="shared" si="5"/>
        <v/>
      </c>
      <c r="R43" s="61"/>
      <c r="S43" s="62" t="str">
        <f t="shared" si="6"/>
        <v/>
      </c>
      <c r="T43" s="31"/>
      <c r="U43" s="31"/>
      <c r="V43" s="31" t="str">
        <f t="shared" si="7"/>
        <v/>
      </c>
      <c r="W43" s="2"/>
      <c r="X43" s="2"/>
      <c r="Y43" s="2"/>
      <c r="Z43" s="2"/>
    </row>
    <row r="44" ht="37.5" customHeight="1">
      <c r="A44" s="92"/>
      <c r="B44" s="92"/>
      <c r="C44" s="92"/>
      <c r="D44" s="77"/>
      <c r="E44" s="93"/>
      <c r="F44" s="77" t="str">
        <f t="array" ref="F44">IFERROR(XLOOKUP(E44,'Cadence Reference'!$A$5:$A$12,'Cadence Reference'!$B$5:$B$12),"")</f>
        <v/>
      </c>
      <c r="G44" s="77"/>
      <c r="H44" s="77"/>
      <c r="I44" s="94"/>
      <c r="J44" s="79" t="str">
        <f t="array" ref="J44">IFERROR(XLOOKUP(I44,'Pricing Reference'!$B$5:$B$12,'Pricing Reference'!$D$5:$D$12),"")</f>
        <v/>
      </c>
      <c r="K44" s="79" t="str">
        <f t="array" ref="K44">IFERROR(XLOOKUP(I44,'Pricing Reference'!$B$5:$B$12,'Pricing Reference'!$E$5:$E$12),"")</f>
        <v/>
      </c>
      <c r="L44" s="73"/>
      <c r="M44" s="95"/>
      <c r="N44" s="72" t="str">
        <f t="shared" si="2"/>
        <v/>
      </c>
      <c r="O44" s="72" t="str">
        <f t="shared" si="3"/>
        <v/>
      </c>
      <c r="P44" s="72" t="str">
        <f t="shared" si="4"/>
        <v/>
      </c>
      <c r="Q44" s="82" t="str">
        <f t="shared" si="5"/>
        <v/>
      </c>
      <c r="R44" s="72"/>
      <c r="S44" s="73" t="str">
        <f t="shared" si="6"/>
        <v/>
      </c>
      <c r="T44" s="34"/>
      <c r="U44" s="34"/>
      <c r="V44" s="34" t="str">
        <f t="shared" si="7"/>
        <v/>
      </c>
      <c r="W44" s="2"/>
      <c r="X44" s="2"/>
      <c r="Y44" s="2"/>
      <c r="Z44" s="2"/>
    </row>
    <row r="45" ht="37.5" customHeight="1">
      <c r="A45" s="96"/>
      <c r="B45" s="96"/>
      <c r="C45" s="96"/>
      <c r="D45" s="86"/>
      <c r="E45" s="97"/>
      <c r="F45" s="86" t="str">
        <f t="array" ref="F45">IFERROR(XLOOKUP(E45,'Cadence Reference'!$A$5:$A$12,'Cadence Reference'!$B$5:$B$12),"")</f>
        <v/>
      </c>
      <c r="G45" s="86"/>
      <c r="H45" s="86"/>
      <c r="I45" s="98"/>
      <c r="J45" s="88" t="str">
        <f t="array" ref="J45">IFERROR(XLOOKUP(I45,'Pricing Reference'!$B$5:$B$12,'Pricing Reference'!$D$5:$D$12),"")</f>
        <v/>
      </c>
      <c r="K45" s="88" t="str">
        <f t="array" ref="K45">IFERROR(XLOOKUP(I45,'Pricing Reference'!$B$5:$B$12,'Pricing Reference'!$E$5:$E$12),"")</f>
        <v/>
      </c>
      <c r="L45" s="62"/>
      <c r="M45" s="99"/>
      <c r="N45" s="61" t="str">
        <f t="shared" si="2"/>
        <v/>
      </c>
      <c r="O45" s="61" t="str">
        <f t="shared" si="3"/>
        <v/>
      </c>
      <c r="P45" s="61" t="str">
        <f t="shared" si="4"/>
        <v/>
      </c>
      <c r="Q45" s="91" t="str">
        <f t="shared" si="5"/>
        <v/>
      </c>
      <c r="R45" s="61"/>
      <c r="S45" s="62" t="str">
        <f t="shared" si="6"/>
        <v/>
      </c>
      <c r="T45" s="31"/>
      <c r="U45" s="31"/>
      <c r="V45" s="31" t="str">
        <f t="shared" si="7"/>
        <v/>
      </c>
      <c r="W45" s="2"/>
      <c r="X45" s="2"/>
      <c r="Y45" s="2"/>
      <c r="Z45" s="2"/>
    </row>
    <row r="46" ht="37.5" customHeight="1">
      <c r="A46" s="92"/>
      <c r="B46" s="92"/>
      <c r="C46" s="92"/>
      <c r="D46" s="77"/>
      <c r="E46" s="93"/>
      <c r="F46" s="77" t="str">
        <f t="array" ref="F46">IFERROR(XLOOKUP(E46,'Cadence Reference'!$A$5:$A$12,'Cadence Reference'!$B$5:$B$12),"")</f>
        <v/>
      </c>
      <c r="G46" s="77"/>
      <c r="H46" s="77"/>
      <c r="I46" s="94"/>
      <c r="J46" s="79" t="str">
        <f t="array" ref="J46">IFERROR(XLOOKUP(I46,'Pricing Reference'!$B$5:$B$12,'Pricing Reference'!$D$5:$D$12),"")</f>
        <v/>
      </c>
      <c r="K46" s="79" t="str">
        <f t="array" ref="K46">IFERROR(XLOOKUP(I46,'Pricing Reference'!$B$5:$B$12,'Pricing Reference'!$E$5:$E$12),"")</f>
        <v/>
      </c>
      <c r="L46" s="73"/>
      <c r="M46" s="95"/>
      <c r="N46" s="72" t="str">
        <f t="shared" si="2"/>
        <v/>
      </c>
      <c r="O46" s="72" t="str">
        <f t="shared" si="3"/>
        <v/>
      </c>
      <c r="P46" s="72" t="str">
        <f t="shared" si="4"/>
        <v/>
      </c>
      <c r="Q46" s="82" t="str">
        <f t="shared" si="5"/>
        <v/>
      </c>
      <c r="R46" s="72"/>
      <c r="S46" s="73" t="str">
        <f t="shared" si="6"/>
        <v/>
      </c>
      <c r="T46" s="34"/>
      <c r="U46" s="34"/>
      <c r="V46" s="34" t="str">
        <f t="shared" si="7"/>
        <v/>
      </c>
      <c r="W46" s="2"/>
      <c r="X46" s="2"/>
      <c r="Y46" s="2"/>
      <c r="Z46" s="2"/>
    </row>
    <row r="47" ht="37.5" customHeight="1">
      <c r="A47" s="96"/>
      <c r="B47" s="96"/>
      <c r="C47" s="96"/>
      <c r="D47" s="86"/>
      <c r="E47" s="97"/>
      <c r="F47" s="86" t="str">
        <f t="array" ref="F47">IFERROR(XLOOKUP(E47,'Cadence Reference'!$A$5:$A$12,'Cadence Reference'!$B$5:$B$12),"")</f>
        <v/>
      </c>
      <c r="G47" s="86"/>
      <c r="H47" s="86"/>
      <c r="I47" s="98"/>
      <c r="J47" s="88" t="str">
        <f t="array" ref="J47">IFERROR(XLOOKUP(I47,'Pricing Reference'!$B$5:$B$12,'Pricing Reference'!$D$5:$D$12),"")</f>
        <v/>
      </c>
      <c r="K47" s="88" t="str">
        <f t="array" ref="K47">IFERROR(XLOOKUP(I47,'Pricing Reference'!$B$5:$B$12,'Pricing Reference'!$E$5:$E$12),"")</f>
        <v/>
      </c>
      <c r="L47" s="62"/>
      <c r="M47" s="99"/>
      <c r="N47" s="61" t="str">
        <f t="shared" si="2"/>
        <v/>
      </c>
      <c r="O47" s="61" t="str">
        <f t="shared" si="3"/>
        <v/>
      </c>
      <c r="P47" s="61" t="str">
        <f t="shared" si="4"/>
        <v/>
      </c>
      <c r="Q47" s="91" t="str">
        <f t="shared" si="5"/>
        <v/>
      </c>
      <c r="R47" s="61"/>
      <c r="S47" s="62" t="str">
        <f t="shared" si="6"/>
        <v/>
      </c>
      <c r="T47" s="31"/>
      <c r="U47" s="31"/>
      <c r="V47" s="31" t="str">
        <f t="shared" si="7"/>
        <v/>
      </c>
      <c r="W47" s="2"/>
      <c r="X47" s="2"/>
      <c r="Y47" s="2"/>
      <c r="Z47" s="2"/>
    </row>
    <row r="48" ht="37.5" customHeight="1">
      <c r="A48" s="92"/>
      <c r="B48" s="92"/>
      <c r="C48" s="92"/>
      <c r="D48" s="77"/>
      <c r="E48" s="93"/>
      <c r="F48" s="77" t="str">
        <f t="array" ref="F48">IFERROR(XLOOKUP(E48,'Cadence Reference'!$A$5:$A$12,'Cadence Reference'!$B$5:$B$12),"")</f>
        <v/>
      </c>
      <c r="G48" s="77"/>
      <c r="H48" s="77"/>
      <c r="I48" s="94"/>
      <c r="J48" s="79" t="str">
        <f t="array" ref="J48">IFERROR(XLOOKUP(I48,'Pricing Reference'!$B$5:$B$12,'Pricing Reference'!$D$5:$D$12),"")</f>
        <v/>
      </c>
      <c r="K48" s="79" t="str">
        <f t="array" ref="K48">IFERROR(XLOOKUP(I48,'Pricing Reference'!$B$5:$B$12,'Pricing Reference'!$E$5:$E$12),"")</f>
        <v/>
      </c>
      <c r="L48" s="73"/>
      <c r="M48" s="95"/>
      <c r="N48" s="72" t="str">
        <f t="shared" si="2"/>
        <v/>
      </c>
      <c r="O48" s="72" t="str">
        <f t="shared" si="3"/>
        <v/>
      </c>
      <c r="P48" s="72" t="str">
        <f t="shared" si="4"/>
        <v/>
      </c>
      <c r="Q48" s="82" t="str">
        <f t="shared" si="5"/>
        <v/>
      </c>
      <c r="R48" s="72"/>
      <c r="S48" s="73" t="str">
        <f t="shared" si="6"/>
        <v/>
      </c>
      <c r="T48" s="34"/>
      <c r="U48" s="34"/>
      <c r="V48" s="34" t="str">
        <f t="shared" si="7"/>
        <v/>
      </c>
      <c r="W48" s="2"/>
      <c r="X48" s="2"/>
      <c r="Y48" s="2"/>
      <c r="Z48" s="2"/>
    </row>
    <row r="49" ht="37.5" customHeight="1">
      <c r="A49" s="96"/>
      <c r="B49" s="96"/>
      <c r="C49" s="96"/>
      <c r="D49" s="86"/>
      <c r="E49" s="97"/>
      <c r="F49" s="86" t="str">
        <f t="array" ref="F49">IFERROR(XLOOKUP(E49,'Cadence Reference'!$A$5:$A$12,'Cadence Reference'!$B$5:$B$12),"")</f>
        <v/>
      </c>
      <c r="G49" s="86"/>
      <c r="H49" s="86"/>
      <c r="I49" s="98"/>
      <c r="J49" s="88" t="str">
        <f t="array" ref="J49">IFERROR(XLOOKUP(I49,'Pricing Reference'!$B$5:$B$12,'Pricing Reference'!$D$5:$D$12),"")</f>
        <v/>
      </c>
      <c r="K49" s="88" t="str">
        <f t="array" ref="K49">IFERROR(XLOOKUP(I49,'Pricing Reference'!$B$5:$B$12,'Pricing Reference'!$E$5:$E$12),"")</f>
        <v/>
      </c>
      <c r="L49" s="62"/>
      <c r="M49" s="99"/>
      <c r="N49" s="61" t="str">
        <f t="shared" si="2"/>
        <v/>
      </c>
      <c r="O49" s="61" t="str">
        <f t="shared" si="3"/>
        <v/>
      </c>
      <c r="P49" s="61" t="str">
        <f t="shared" si="4"/>
        <v/>
      </c>
      <c r="Q49" s="91" t="str">
        <f t="shared" si="5"/>
        <v/>
      </c>
      <c r="R49" s="61"/>
      <c r="S49" s="62" t="str">
        <f t="shared" si="6"/>
        <v/>
      </c>
      <c r="T49" s="31"/>
      <c r="U49" s="31"/>
      <c r="V49" s="31" t="str">
        <f t="shared" si="7"/>
        <v/>
      </c>
      <c r="W49" s="2"/>
      <c r="X49" s="2"/>
      <c r="Y49" s="2"/>
      <c r="Z49" s="2"/>
    </row>
    <row r="50" ht="37.5" customHeight="1">
      <c r="A50" s="92"/>
      <c r="B50" s="92"/>
      <c r="C50" s="92"/>
      <c r="D50" s="77"/>
      <c r="E50" s="93"/>
      <c r="F50" s="77" t="str">
        <f t="array" ref="F50">IFERROR(XLOOKUP(E50,'Cadence Reference'!$A$5:$A$12,'Cadence Reference'!$B$5:$B$12),"")</f>
        <v/>
      </c>
      <c r="G50" s="77"/>
      <c r="H50" s="77"/>
      <c r="I50" s="94"/>
      <c r="J50" s="79" t="str">
        <f t="array" ref="J50">IFERROR(XLOOKUP(I50,'Pricing Reference'!$B$5:$B$12,'Pricing Reference'!$D$5:$D$12),"")</f>
        <v/>
      </c>
      <c r="K50" s="79" t="str">
        <f t="array" ref="K50">IFERROR(XLOOKUP(I50,'Pricing Reference'!$B$5:$B$12,'Pricing Reference'!$E$5:$E$12),"")</f>
        <v/>
      </c>
      <c r="L50" s="73"/>
      <c r="M50" s="95"/>
      <c r="N50" s="72" t="str">
        <f t="shared" si="2"/>
        <v/>
      </c>
      <c r="O50" s="72" t="str">
        <f t="shared" si="3"/>
        <v/>
      </c>
      <c r="P50" s="72" t="str">
        <f t="shared" si="4"/>
        <v/>
      </c>
      <c r="Q50" s="82" t="str">
        <f t="shared" si="5"/>
        <v/>
      </c>
      <c r="R50" s="72"/>
      <c r="S50" s="73" t="str">
        <f t="shared" si="6"/>
        <v/>
      </c>
      <c r="T50" s="34"/>
      <c r="U50" s="34"/>
      <c r="V50" s="34" t="str">
        <f t="shared" si="7"/>
        <v/>
      </c>
      <c r="W50" s="2"/>
      <c r="X50" s="2"/>
      <c r="Y50" s="2"/>
      <c r="Z50" s="2"/>
    </row>
    <row r="51" ht="37.5" customHeight="1">
      <c r="A51" s="96"/>
      <c r="B51" s="96"/>
      <c r="C51" s="96"/>
      <c r="D51" s="86"/>
      <c r="E51" s="97"/>
      <c r="F51" s="86" t="str">
        <f t="array" ref="F51">IFERROR(XLOOKUP(E51,'Cadence Reference'!$A$5:$A$12,'Cadence Reference'!$B$5:$B$12),"")</f>
        <v/>
      </c>
      <c r="G51" s="86"/>
      <c r="H51" s="86"/>
      <c r="I51" s="98"/>
      <c r="J51" s="88" t="str">
        <f t="array" ref="J51">IFERROR(XLOOKUP(I51,'Pricing Reference'!$B$5:$B$12,'Pricing Reference'!$D$5:$D$12),"")</f>
        <v/>
      </c>
      <c r="K51" s="88" t="str">
        <f t="array" ref="K51">IFERROR(XLOOKUP(I51,'Pricing Reference'!$B$5:$B$12,'Pricing Reference'!$E$5:$E$12),"")</f>
        <v/>
      </c>
      <c r="L51" s="62"/>
      <c r="M51" s="99"/>
      <c r="N51" s="61" t="str">
        <f t="shared" si="2"/>
        <v/>
      </c>
      <c r="O51" s="61" t="str">
        <f t="shared" si="3"/>
        <v/>
      </c>
      <c r="P51" s="61" t="str">
        <f t="shared" si="4"/>
        <v/>
      </c>
      <c r="Q51" s="91" t="str">
        <f t="shared" si="5"/>
        <v/>
      </c>
      <c r="R51" s="61"/>
      <c r="S51" s="62" t="str">
        <f t="shared" si="6"/>
        <v/>
      </c>
      <c r="T51" s="31"/>
      <c r="U51" s="31"/>
      <c r="V51" s="31" t="str">
        <f t="shared" si="7"/>
        <v/>
      </c>
      <c r="W51" s="2"/>
      <c r="X51" s="2"/>
      <c r="Y51" s="2"/>
      <c r="Z51" s="2"/>
    </row>
    <row r="52" ht="37.5" customHeight="1">
      <c r="A52" s="92"/>
      <c r="B52" s="92"/>
      <c r="C52" s="92"/>
      <c r="D52" s="77"/>
      <c r="E52" s="93"/>
      <c r="F52" s="77" t="str">
        <f t="array" ref="F52">IFERROR(XLOOKUP(E52,'Cadence Reference'!$A$5:$A$12,'Cadence Reference'!$B$5:$B$12),"")</f>
        <v/>
      </c>
      <c r="G52" s="77"/>
      <c r="H52" s="77"/>
      <c r="I52" s="94"/>
      <c r="J52" s="79" t="str">
        <f t="array" ref="J52">IFERROR(XLOOKUP(I52,'Pricing Reference'!$B$5:$B$12,'Pricing Reference'!$D$5:$D$12),"")</f>
        <v/>
      </c>
      <c r="K52" s="79" t="str">
        <f t="array" ref="K52">IFERROR(XLOOKUP(I52,'Pricing Reference'!$B$5:$B$12,'Pricing Reference'!$E$5:$E$12),"")</f>
        <v/>
      </c>
      <c r="L52" s="73"/>
      <c r="M52" s="95"/>
      <c r="N52" s="72" t="str">
        <f t="shared" si="2"/>
        <v/>
      </c>
      <c r="O52" s="72" t="str">
        <f t="shared" si="3"/>
        <v/>
      </c>
      <c r="P52" s="72" t="str">
        <f t="shared" si="4"/>
        <v/>
      </c>
      <c r="Q52" s="82" t="str">
        <f t="shared" si="5"/>
        <v/>
      </c>
      <c r="R52" s="72"/>
      <c r="S52" s="73" t="str">
        <f t="shared" si="6"/>
        <v/>
      </c>
      <c r="T52" s="34"/>
      <c r="U52" s="34"/>
      <c r="V52" s="34" t="str">
        <f t="shared" si="7"/>
        <v/>
      </c>
      <c r="W52" s="2"/>
      <c r="X52" s="2"/>
      <c r="Y52" s="2"/>
      <c r="Z52" s="2"/>
    </row>
    <row r="53" ht="37.5" customHeight="1">
      <c r="A53" s="96"/>
      <c r="B53" s="96"/>
      <c r="C53" s="96"/>
      <c r="D53" s="86"/>
      <c r="E53" s="97"/>
      <c r="F53" s="86" t="str">
        <f t="array" ref="F53">IFERROR(XLOOKUP(E53,'Cadence Reference'!$A$5:$A$12,'Cadence Reference'!$B$5:$B$12),"")</f>
        <v/>
      </c>
      <c r="G53" s="86"/>
      <c r="H53" s="86"/>
      <c r="I53" s="98"/>
      <c r="J53" s="88" t="str">
        <f t="array" ref="J53">IFERROR(XLOOKUP(I53,'Pricing Reference'!$B$5:$B$12,'Pricing Reference'!$D$5:$D$12),"")</f>
        <v/>
      </c>
      <c r="K53" s="88" t="str">
        <f t="array" ref="K53">IFERROR(XLOOKUP(I53,'Pricing Reference'!$B$5:$B$12,'Pricing Reference'!$E$5:$E$12),"")</f>
        <v/>
      </c>
      <c r="L53" s="62"/>
      <c r="M53" s="99"/>
      <c r="N53" s="61" t="str">
        <f t="shared" si="2"/>
        <v/>
      </c>
      <c r="O53" s="61" t="str">
        <f t="shared" si="3"/>
        <v/>
      </c>
      <c r="P53" s="61" t="str">
        <f t="shared" si="4"/>
        <v/>
      </c>
      <c r="Q53" s="91" t="str">
        <f t="shared" si="5"/>
        <v/>
      </c>
      <c r="R53" s="61"/>
      <c r="S53" s="62" t="str">
        <f t="shared" si="6"/>
        <v/>
      </c>
      <c r="T53" s="31"/>
      <c r="U53" s="31"/>
      <c r="V53" s="31" t="str">
        <f t="shared" si="7"/>
        <v/>
      </c>
      <c r="W53" s="2"/>
      <c r="X53" s="2"/>
      <c r="Y53" s="2"/>
      <c r="Z53" s="2"/>
    </row>
    <row r="54" ht="37.5" customHeight="1">
      <c r="A54" s="92"/>
      <c r="B54" s="92"/>
      <c r="C54" s="92"/>
      <c r="D54" s="77"/>
      <c r="E54" s="93"/>
      <c r="F54" s="77" t="str">
        <f t="array" ref="F54">IFERROR(XLOOKUP(E54,'Cadence Reference'!$A$5:$A$12,'Cadence Reference'!$B$5:$B$12),"")</f>
        <v/>
      </c>
      <c r="G54" s="77"/>
      <c r="H54" s="77"/>
      <c r="I54" s="94"/>
      <c r="J54" s="79" t="str">
        <f t="array" ref="J54">IFERROR(XLOOKUP(I54,'Pricing Reference'!$B$5:$B$12,'Pricing Reference'!$D$5:$D$12),"")</f>
        <v/>
      </c>
      <c r="K54" s="79" t="str">
        <f t="array" ref="K54">IFERROR(XLOOKUP(I54,'Pricing Reference'!$B$5:$B$12,'Pricing Reference'!$E$5:$E$12),"")</f>
        <v/>
      </c>
      <c r="L54" s="73"/>
      <c r="M54" s="95"/>
      <c r="N54" s="72" t="str">
        <f t="shared" si="2"/>
        <v/>
      </c>
      <c r="O54" s="72" t="str">
        <f t="shared" si="3"/>
        <v/>
      </c>
      <c r="P54" s="72" t="str">
        <f t="shared" si="4"/>
        <v/>
      </c>
      <c r="Q54" s="82" t="str">
        <f t="shared" si="5"/>
        <v/>
      </c>
      <c r="R54" s="72"/>
      <c r="S54" s="73" t="str">
        <f t="shared" si="6"/>
        <v/>
      </c>
      <c r="T54" s="34"/>
      <c r="U54" s="34"/>
      <c r="V54" s="34" t="str">
        <f t="shared" si="7"/>
        <v/>
      </c>
      <c r="W54" s="2"/>
      <c r="X54" s="2"/>
      <c r="Y54" s="2"/>
      <c r="Z54" s="2"/>
    </row>
    <row r="55" ht="37.5" customHeight="1">
      <c r="A55" s="96"/>
      <c r="B55" s="96"/>
      <c r="C55" s="96"/>
      <c r="D55" s="86"/>
      <c r="E55" s="97"/>
      <c r="F55" s="86" t="str">
        <f t="array" ref="F55">IFERROR(XLOOKUP(E55,'Cadence Reference'!$A$5:$A$12,'Cadence Reference'!$B$5:$B$12),"")</f>
        <v/>
      </c>
      <c r="G55" s="86"/>
      <c r="H55" s="86"/>
      <c r="I55" s="98"/>
      <c r="J55" s="88" t="str">
        <f t="array" ref="J55">IFERROR(XLOOKUP(I55,'Pricing Reference'!$B$5:$B$12,'Pricing Reference'!$D$5:$D$12),"")</f>
        <v/>
      </c>
      <c r="K55" s="88" t="str">
        <f t="array" ref="K55">IFERROR(XLOOKUP(I55,'Pricing Reference'!$B$5:$B$12,'Pricing Reference'!$E$5:$E$12),"")</f>
        <v/>
      </c>
      <c r="L55" s="62"/>
      <c r="M55" s="99"/>
      <c r="N55" s="61" t="str">
        <f t="shared" si="2"/>
        <v/>
      </c>
      <c r="O55" s="61" t="str">
        <f t="shared" si="3"/>
        <v/>
      </c>
      <c r="P55" s="61" t="str">
        <f t="shared" si="4"/>
        <v/>
      </c>
      <c r="Q55" s="91" t="str">
        <f t="shared" si="5"/>
        <v/>
      </c>
      <c r="R55" s="61"/>
      <c r="S55" s="62" t="str">
        <f t="shared" si="6"/>
        <v/>
      </c>
      <c r="T55" s="31"/>
      <c r="U55" s="31"/>
      <c r="V55" s="31" t="str">
        <f t="shared" si="7"/>
        <v/>
      </c>
      <c r="W55" s="2"/>
      <c r="X55" s="2"/>
      <c r="Y55" s="2"/>
      <c r="Z55" s="2"/>
    </row>
    <row r="56" ht="37.5" customHeight="1">
      <c r="A56" s="92"/>
      <c r="B56" s="92"/>
      <c r="C56" s="92"/>
      <c r="D56" s="77"/>
      <c r="E56" s="93"/>
      <c r="F56" s="77" t="str">
        <f t="array" ref="F56">IFERROR(XLOOKUP(E56,'Cadence Reference'!$A$5:$A$12,'Cadence Reference'!$B$5:$B$12),"")</f>
        <v/>
      </c>
      <c r="G56" s="77"/>
      <c r="H56" s="77"/>
      <c r="I56" s="94"/>
      <c r="J56" s="79" t="str">
        <f t="array" ref="J56">IFERROR(XLOOKUP(I56,'Pricing Reference'!$B$5:$B$12,'Pricing Reference'!$D$5:$D$12),"")</f>
        <v/>
      </c>
      <c r="K56" s="79" t="str">
        <f t="array" ref="K56">IFERROR(XLOOKUP(I56,'Pricing Reference'!$B$5:$B$12,'Pricing Reference'!$E$5:$E$12),"")</f>
        <v/>
      </c>
      <c r="L56" s="73"/>
      <c r="M56" s="95"/>
      <c r="N56" s="72" t="str">
        <f t="shared" si="2"/>
        <v/>
      </c>
      <c r="O56" s="72" t="str">
        <f t="shared" si="3"/>
        <v/>
      </c>
      <c r="P56" s="72" t="str">
        <f t="shared" si="4"/>
        <v/>
      </c>
      <c r="Q56" s="82" t="str">
        <f t="shared" si="5"/>
        <v/>
      </c>
      <c r="R56" s="72"/>
      <c r="S56" s="73" t="str">
        <f t="shared" si="6"/>
        <v/>
      </c>
      <c r="T56" s="34"/>
      <c r="U56" s="34"/>
      <c r="V56" s="34" t="str">
        <f t="shared" si="7"/>
        <v/>
      </c>
      <c r="W56" s="2"/>
      <c r="X56" s="2"/>
      <c r="Y56" s="2"/>
      <c r="Z56" s="2"/>
    </row>
    <row r="57" ht="37.5" customHeight="1">
      <c r="A57" s="96"/>
      <c r="B57" s="96"/>
      <c r="C57" s="96"/>
      <c r="D57" s="86"/>
      <c r="E57" s="97"/>
      <c r="F57" s="86" t="str">
        <f t="array" ref="F57">IFERROR(XLOOKUP(E57,'Cadence Reference'!$A$5:$A$12,'Cadence Reference'!$B$5:$B$12),"")</f>
        <v/>
      </c>
      <c r="G57" s="86"/>
      <c r="H57" s="86"/>
      <c r="I57" s="98"/>
      <c r="J57" s="88" t="str">
        <f t="array" ref="J57">IFERROR(XLOOKUP(I57,'Pricing Reference'!$B$5:$B$12,'Pricing Reference'!$D$5:$D$12),"")</f>
        <v/>
      </c>
      <c r="K57" s="88" t="str">
        <f t="array" ref="K57">IFERROR(XLOOKUP(I57,'Pricing Reference'!$B$5:$B$12,'Pricing Reference'!$E$5:$E$12),"")</f>
        <v/>
      </c>
      <c r="L57" s="62"/>
      <c r="M57" s="99"/>
      <c r="N57" s="61" t="str">
        <f t="shared" si="2"/>
        <v/>
      </c>
      <c r="O57" s="61" t="str">
        <f t="shared" si="3"/>
        <v/>
      </c>
      <c r="P57" s="61" t="str">
        <f t="shared" si="4"/>
        <v/>
      </c>
      <c r="Q57" s="91" t="str">
        <f t="shared" si="5"/>
        <v/>
      </c>
      <c r="R57" s="61"/>
      <c r="S57" s="62" t="str">
        <f t="shared" si="6"/>
        <v/>
      </c>
      <c r="T57" s="31"/>
      <c r="U57" s="31"/>
      <c r="V57" s="31" t="str">
        <f t="shared" si="7"/>
        <v/>
      </c>
      <c r="W57" s="2"/>
      <c r="X57" s="2"/>
      <c r="Y57" s="2"/>
      <c r="Z57" s="2"/>
    </row>
    <row r="58" ht="37.5" customHeight="1">
      <c r="A58" s="92"/>
      <c r="B58" s="92"/>
      <c r="C58" s="92"/>
      <c r="D58" s="77"/>
      <c r="E58" s="93"/>
      <c r="F58" s="77" t="str">
        <f t="array" ref="F58">IFERROR(XLOOKUP(E58,'Cadence Reference'!$A$5:$A$12,'Cadence Reference'!$B$5:$B$12),"")</f>
        <v/>
      </c>
      <c r="G58" s="77"/>
      <c r="H58" s="77"/>
      <c r="I58" s="94"/>
      <c r="J58" s="79" t="str">
        <f t="array" ref="J58">IFERROR(XLOOKUP(I58,'Pricing Reference'!$B$5:$B$12,'Pricing Reference'!$D$5:$D$12),"")</f>
        <v/>
      </c>
      <c r="K58" s="79" t="str">
        <f t="array" ref="K58">IFERROR(XLOOKUP(I58,'Pricing Reference'!$B$5:$B$12,'Pricing Reference'!$E$5:$E$12),"")</f>
        <v/>
      </c>
      <c r="L58" s="73"/>
      <c r="M58" s="95"/>
      <c r="N58" s="72" t="str">
        <f t="shared" si="2"/>
        <v/>
      </c>
      <c r="O58" s="72" t="str">
        <f t="shared" si="3"/>
        <v/>
      </c>
      <c r="P58" s="72" t="str">
        <f t="shared" si="4"/>
        <v/>
      </c>
      <c r="Q58" s="82" t="str">
        <f t="shared" si="5"/>
        <v/>
      </c>
      <c r="R58" s="72"/>
      <c r="S58" s="73" t="str">
        <f t="shared" si="6"/>
        <v/>
      </c>
      <c r="T58" s="34"/>
      <c r="U58" s="34"/>
      <c r="V58" s="34" t="str">
        <f t="shared" si="7"/>
        <v/>
      </c>
      <c r="W58" s="2"/>
      <c r="X58" s="2"/>
      <c r="Y58" s="2"/>
      <c r="Z58" s="2"/>
    </row>
    <row r="59" ht="37.5" customHeight="1">
      <c r="A59" s="96"/>
      <c r="B59" s="96"/>
      <c r="C59" s="96"/>
      <c r="D59" s="86"/>
      <c r="E59" s="97"/>
      <c r="F59" s="86" t="str">
        <f t="array" ref="F59">IFERROR(XLOOKUP(E59,'Cadence Reference'!$A$5:$A$12,'Cadence Reference'!$B$5:$B$12),"")</f>
        <v/>
      </c>
      <c r="G59" s="86"/>
      <c r="H59" s="86"/>
      <c r="I59" s="98"/>
      <c r="J59" s="88" t="str">
        <f t="array" ref="J59">IFERROR(XLOOKUP(I59,'Pricing Reference'!$B$5:$B$12,'Pricing Reference'!$D$5:$D$12),"")</f>
        <v/>
      </c>
      <c r="K59" s="88" t="str">
        <f t="array" ref="K59">IFERROR(XLOOKUP(I59,'Pricing Reference'!$B$5:$B$12,'Pricing Reference'!$E$5:$E$12),"")</f>
        <v/>
      </c>
      <c r="L59" s="62"/>
      <c r="M59" s="99"/>
      <c r="N59" s="61" t="str">
        <f t="shared" si="2"/>
        <v/>
      </c>
      <c r="O59" s="61" t="str">
        <f t="shared" si="3"/>
        <v/>
      </c>
      <c r="P59" s="61" t="str">
        <f t="shared" si="4"/>
        <v/>
      </c>
      <c r="Q59" s="91" t="str">
        <f t="shared" si="5"/>
        <v/>
      </c>
      <c r="R59" s="61"/>
      <c r="S59" s="62" t="str">
        <f t="shared" si="6"/>
        <v/>
      </c>
      <c r="T59" s="31"/>
      <c r="U59" s="31"/>
      <c r="V59" s="31" t="str">
        <f t="shared" si="7"/>
        <v/>
      </c>
      <c r="W59" s="2"/>
      <c r="X59" s="2"/>
      <c r="Y59" s="2"/>
      <c r="Z59" s="2"/>
    </row>
    <row r="60" ht="37.5" customHeight="1">
      <c r="A60" s="92"/>
      <c r="B60" s="92"/>
      <c r="C60" s="92"/>
      <c r="D60" s="77"/>
      <c r="E60" s="93"/>
      <c r="F60" s="77" t="str">
        <f t="array" ref="F60">IFERROR(XLOOKUP(E60,'Cadence Reference'!$A$5:$A$12,'Cadence Reference'!$B$5:$B$12),"")</f>
        <v/>
      </c>
      <c r="G60" s="77"/>
      <c r="H60" s="77"/>
      <c r="I60" s="94"/>
      <c r="J60" s="79" t="str">
        <f t="array" ref="J60">IFERROR(XLOOKUP(I60,'Pricing Reference'!$B$5:$B$12,'Pricing Reference'!$D$5:$D$12),"")</f>
        <v/>
      </c>
      <c r="K60" s="79" t="str">
        <f t="array" ref="K60">IFERROR(XLOOKUP(I60,'Pricing Reference'!$B$5:$B$12,'Pricing Reference'!$E$5:$E$12),"")</f>
        <v/>
      </c>
      <c r="L60" s="73"/>
      <c r="M60" s="95"/>
      <c r="N60" s="72" t="str">
        <f t="shared" si="2"/>
        <v/>
      </c>
      <c r="O60" s="72" t="str">
        <f t="shared" si="3"/>
        <v/>
      </c>
      <c r="P60" s="72" t="str">
        <f t="shared" si="4"/>
        <v/>
      </c>
      <c r="Q60" s="82" t="str">
        <f t="shared" si="5"/>
        <v/>
      </c>
      <c r="R60" s="72"/>
      <c r="S60" s="73" t="str">
        <f t="shared" si="6"/>
        <v/>
      </c>
      <c r="T60" s="34"/>
      <c r="U60" s="34"/>
      <c r="V60" s="34" t="str">
        <f t="shared" si="7"/>
        <v/>
      </c>
      <c r="W60" s="2"/>
      <c r="X60" s="2"/>
      <c r="Y60" s="2"/>
      <c r="Z60" s="2"/>
    </row>
    <row r="61" ht="37.5" customHeight="1">
      <c r="A61" s="96"/>
      <c r="B61" s="96"/>
      <c r="C61" s="96"/>
      <c r="D61" s="86"/>
      <c r="E61" s="97"/>
      <c r="F61" s="86" t="str">
        <f t="array" ref="F61">IFERROR(XLOOKUP(E61,'Cadence Reference'!$A$5:$A$12,'Cadence Reference'!$B$5:$B$12),"")</f>
        <v/>
      </c>
      <c r="G61" s="86"/>
      <c r="H61" s="86"/>
      <c r="I61" s="98"/>
      <c r="J61" s="88" t="str">
        <f t="array" ref="J61">IFERROR(XLOOKUP(I61,'Pricing Reference'!$B$5:$B$12,'Pricing Reference'!$D$5:$D$12),"")</f>
        <v/>
      </c>
      <c r="K61" s="88" t="str">
        <f t="array" ref="K61">IFERROR(XLOOKUP(I61,'Pricing Reference'!$B$5:$B$12,'Pricing Reference'!$E$5:$E$12),"")</f>
        <v/>
      </c>
      <c r="L61" s="62"/>
      <c r="M61" s="99"/>
      <c r="N61" s="61" t="str">
        <f t="shared" si="2"/>
        <v/>
      </c>
      <c r="O61" s="61" t="str">
        <f t="shared" si="3"/>
        <v/>
      </c>
      <c r="P61" s="61" t="str">
        <f t="shared" si="4"/>
        <v/>
      </c>
      <c r="Q61" s="91" t="str">
        <f t="shared" si="5"/>
        <v/>
      </c>
      <c r="R61" s="61"/>
      <c r="S61" s="62" t="str">
        <f t="shared" si="6"/>
        <v/>
      </c>
      <c r="T61" s="31"/>
      <c r="U61" s="31"/>
      <c r="V61" s="31" t="str">
        <f t="shared" si="7"/>
        <v/>
      </c>
      <c r="W61" s="2"/>
      <c r="X61" s="2"/>
      <c r="Y61" s="2"/>
      <c r="Z61" s="2"/>
    </row>
    <row r="62" ht="37.5" customHeight="1">
      <c r="A62" s="92"/>
      <c r="B62" s="92"/>
      <c r="C62" s="92"/>
      <c r="D62" s="77"/>
      <c r="E62" s="93"/>
      <c r="F62" s="77" t="str">
        <f t="array" ref="F62">IFERROR(XLOOKUP(E62,'Cadence Reference'!$A$5:$A$12,'Cadence Reference'!$B$5:$B$12),"")</f>
        <v/>
      </c>
      <c r="G62" s="77"/>
      <c r="H62" s="77"/>
      <c r="I62" s="94"/>
      <c r="J62" s="79" t="str">
        <f t="array" ref="J62">IFERROR(XLOOKUP(I62,'Pricing Reference'!$B$5:$B$12,'Pricing Reference'!$D$5:$D$12),"")</f>
        <v/>
      </c>
      <c r="K62" s="79" t="str">
        <f t="array" ref="K62">IFERROR(XLOOKUP(I62,'Pricing Reference'!$B$5:$B$12,'Pricing Reference'!$E$5:$E$12),"")</f>
        <v/>
      </c>
      <c r="L62" s="73"/>
      <c r="M62" s="95"/>
      <c r="N62" s="72" t="str">
        <f t="shared" si="2"/>
        <v/>
      </c>
      <c r="O62" s="72" t="str">
        <f t="shared" si="3"/>
        <v/>
      </c>
      <c r="P62" s="72" t="str">
        <f t="shared" si="4"/>
        <v/>
      </c>
      <c r="Q62" s="82" t="str">
        <f t="shared" si="5"/>
        <v/>
      </c>
      <c r="R62" s="72"/>
      <c r="S62" s="73" t="str">
        <f t="shared" si="6"/>
        <v/>
      </c>
      <c r="T62" s="34"/>
      <c r="U62" s="34"/>
      <c r="V62" s="34" t="str">
        <f t="shared" si="7"/>
        <v/>
      </c>
      <c r="W62" s="2"/>
      <c r="X62" s="2"/>
      <c r="Y62" s="2"/>
      <c r="Z62" s="2"/>
    </row>
    <row r="63" ht="37.5" customHeight="1">
      <c r="A63" s="3"/>
      <c r="B63" s="3"/>
      <c r="C63" s="3"/>
      <c r="D63" s="100"/>
      <c r="E63" s="100"/>
      <c r="F63" s="100"/>
      <c r="G63" s="3"/>
      <c r="H63" s="101"/>
      <c r="I63" s="101"/>
      <c r="J63" s="102"/>
      <c r="K63" s="103"/>
      <c r="L63" s="101"/>
      <c r="M63" s="101"/>
      <c r="N63" s="101"/>
      <c r="O63" s="3"/>
      <c r="P63" s="2"/>
      <c r="Q63" s="2"/>
      <c r="R63" s="2"/>
      <c r="S63" s="2"/>
      <c r="T63" s="2"/>
      <c r="U63" s="2"/>
      <c r="V63" s="2"/>
      <c r="W63" s="2"/>
      <c r="X63" s="2"/>
      <c r="Y63" s="2"/>
      <c r="Z63" s="2"/>
    </row>
    <row r="64" ht="37.5" customHeight="1">
      <c r="A64" s="3"/>
      <c r="B64" s="3"/>
      <c r="C64" s="3"/>
      <c r="D64" s="100"/>
      <c r="E64" s="100"/>
      <c r="F64" s="100"/>
      <c r="G64" s="3"/>
      <c r="H64" s="101"/>
      <c r="I64" s="101"/>
      <c r="J64" s="102"/>
      <c r="K64" s="103"/>
      <c r="L64" s="101"/>
      <c r="M64" s="101"/>
      <c r="N64" s="101"/>
      <c r="O64" s="3"/>
      <c r="P64" s="2"/>
      <c r="Q64" s="2"/>
      <c r="R64" s="2"/>
      <c r="S64" s="2"/>
      <c r="T64" s="2"/>
      <c r="U64" s="2"/>
      <c r="V64" s="2"/>
      <c r="W64" s="2"/>
      <c r="X64" s="2"/>
      <c r="Y64" s="2"/>
      <c r="Z64" s="2"/>
    </row>
    <row r="65" ht="37.5" customHeight="1">
      <c r="A65" s="3"/>
      <c r="B65" s="3"/>
      <c r="C65" s="3"/>
      <c r="D65" s="100"/>
      <c r="E65" s="100"/>
      <c r="F65" s="100"/>
      <c r="G65" s="3"/>
      <c r="H65" s="101"/>
      <c r="I65" s="101"/>
      <c r="J65" s="102"/>
      <c r="K65" s="103"/>
      <c r="L65" s="101"/>
      <c r="M65" s="101"/>
      <c r="N65" s="101"/>
      <c r="O65" s="3"/>
      <c r="P65" s="2"/>
      <c r="Q65" s="2"/>
      <c r="R65" s="2"/>
      <c r="S65" s="2"/>
      <c r="T65" s="2"/>
      <c r="U65" s="2"/>
      <c r="V65" s="2"/>
      <c r="W65" s="2"/>
      <c r="X65" s="2"/>
      <c r="Y65" s="2"/>
      <c r="Z65" s="2"/>
    </row>
    <row r="66" ht="37.5" customHeight="1">
      <c r="A66" s="3"/>
      <c r="B66" s="3"/>
      <c r="C66" s="3"/>
      <c r="D66" s="100"/>
      <c r="E66" s="100"/>
      <c r="F66" s="100"/>
      <c r="G66" s="3"/>
      <c r="H66" s="101"/>
      <c r="I66" s="101"/>
      <c r="J66" s="102"/>
      <c r="K66" s="103"/>
      <c r="L66" s="101"/>
      <c r="M66" s="101"/>
      <c r="N66" s="101"/>
      <c r="O66" s="3"/>
      <c r="P66" s="2"/>
      <c r="Q66" s="2"/>
      <c r="R66" s="2"/>
      <c r="S66" s="2"/>
      <c r="T66" s="2"/>
      <c r="U66" s="2"/>
      <c r="V66" s="2"/>
      <c r="W66" s="2"/>
      <c r="X66" s="2"/>
      <c r="Y66" s="2"/>
      <c r="Z66" s="2"/>
    </row>
    <row r="67" ht="37.5" customHeight="1">
      <c r="A67" s="3"/>
      <c r="B67" s="3"/>
      <c r="C67" s="3"/>
      <c r="D67" s="100"/>
      <c r="E67" s="100"/>
      <c r="F67" s="100"/>
      <c r="G67" s="3"/>
      <c r="H67" s="101"/>
      <c r="I67" s="101"/>
      <c r="J67" s="102"/>
      <c r="K67" s="103"/>
      <c r="L67" s="101"/>
      <c r="M67" s="101"/>
      <c r="N67" s="101"/>
      <c r="O67" s="3"/>
      <c r="P67" s="2"/>
      <c r="Q67" s="2"/>
      <c r="R67" s="2"/>
      <c r="S67" s="2"/>
      <c r="T67" s="2"/>
      <c r="U67" s="2"/>
      <c r="V67" s="2"/>
      <c r="W67" s="2"/>
      <c r="X67" s="2"/>
      <c r="Y67" s="2"/>
      <c r="Z67" s="2"/>
    </row>
    <row r="68" ht="37.5" customHeight="1">
      <c r="A68" s="3"/>
      <c r="B68" s="3"/>
      <c r="C68" s="3"/>
      <c r="D68" s="100"/>
      <c r="E68" s="100"/>
      <c r="F68" s="100"/>
      <c r="G68" s="3"/>
      <c r="H68" s="101"/>
      <c r="I68" s="101"/>
      <c r="J68" s="102"/>
      <c r="K68" s="103"/>
      <c r="L68" s="101"/>
      <c r="M68" s="101"/>
      <c r="N68" s="101"/>
      <c r="O68" s="3"/>
      <c r="P68" s="2"/>
      <c r="Q68" s="2"/>
      <c r="R68" s="2"/>
      <c r="S68" s="2"/>
      <c r="T68" s="2"/>
      <c r="U68" s="2"/>
      <c r="V68" s="2"/>
      <c r="W68" s="2"/>
      <c r="X68" s="2"/>
      <c r="Y68" s="2"/>
      <c r="Z68" s="2"/>
    </row>
    <row r="69" ht="37.5" customHeight="1">
      <c r="A69" s="3"/>
      <c r="B69" s="3"/>
      <c r="C69" s="3"/>
      <c r="D69" s="100"/>
      <c r="E69" s="100"/>
      <c r="F69" s="100"/>
      <c r="G69" s="3"/>
      <c r="H69" s="101"/>
      <c r="I69" s="101"/>
      <c r="J69" s="102"/>
      <c r="K69" s="103"/>
      <c r="L69" s="101"/>
      <c r="M69" s="101"/>
      <c r="N69" s="101"/>
      <c r="O69" s="3"/>
      <c r="P69" s="2"/>
      <c r="Q69" s="2"/>
      <c r="R69" s="2"/>
      <c r="S69" s="2"/>
      <c r="T69" s="2"/>
      <c r="U69" s="2"/>
      <c r="V69" s="2"/>
      <c r="W69" s="2"/>
      <c r="X69" s="2"/>
      <c r="Y69" s="2"/>
      <c r="Z69" s="2"/>
    </row>
    <row r="70" ht="37.5" customHeight="1">
      <c r="A70" s="3"/>
      <c r="B70" s="3"/>
      <c r="C70" s="3"/>
      <c r="D70" s="100"/>
      <c r="E70" s="100"/>
      <c r="F70" s="100"/>
      <c r="G70" s="3"/>
      <c r="H70" s="101"/>
      <c r="I70" s="101"/>
      <c r="J70" s="102"/>
      <c r="K70" s="103"/>
      <c r="L70" s="101"/>
      <c r="M70" s="101"/>
      <c r="N70" s="101"/>
      <c r="O70" s="3"/>
      <c r="P70" s="2"/>
      <c r="Q70" s="2"/>
      <c r="R70" s="2"/>
      <c r="S70" s="2"/>
      <c r="T70" s="2"/>
      <c r="U70" s="2"/>
      <c r="V70" s="2"/>
      <c r="W70" s="2"/>
      <c r="X70" s="2"/>
      <c r="Y70" s="2"/>
      <c r="Z70" s="2"/>
    </row>
    <row r="71" ht="37.5" customHeight="1">
      <c r="A71" s="3"/>
      <c r="B71" s="3"/>
      <c r="C71" s="3"/>
      <c r="D71" s="100"/>
      <c r="E71" s="100"/>
      <c r="F71" s="100"/>
      <c r="G71" s="3"/>
      <c r="H71" s="101"/>
      <c r="I71" s="101"/>
      <c r="J71" s="102"/>
      <c r="K71" s="103"/>
      <c r="L71" s="101"/>
      <c r="M71" s="101"/>
      <c r="N71" s="101"/>
      <c r="O71" s="3"/>
      <c r="P71" s="2"/>
      <c r="Q71" s="2"/>
      <c r="R71" s="2"/>
      <c r="S71" s="2"/>
      <c r="T71" s="2"/>
      <c r="U71" s="2"/>
      <c r="V71" s="2"/>
      <c r="W71" s="2"/>
      <c r="X71" s="2"/>
      <c r="Y71" s="2"/>
      <c r="Z71" s="2"/>
    </row>
    <row r="72" ht="37.5" customHeight="1">
      <c r="A72" s="3"/>
      <c r="B72" s="3"/>
      <c r="C72" s="3"/>
      <c r="D72" s="100"/>
      <c r="E72" s="100"/>
      <c r="F72" s="100"/>
      <c r="G72" s="3"/>
      <c r="H72" s="101"/>
      <c r="I72" s="101"/>
      <c r="J72" s="102"/>
      <c r="K72" s="103"/>
      <c r="L72" s="101"/>
      <c r="M72" s="101"/>
      <c r="N72" s="101"/>
      <c r="O72" s="3"/>
      <c r="P72" s="2"/>
      <c r="Q72" s="2"/>
      <c r="R72" s="2"/>
      <c r="S72" s="2"/>
      <c r="T72" s="2"/>
      <c r="U72" s="2"/>
      <c r="V72" s="2"/>
      <c r="W72" s="2"/>
      <c r="X72" s="2"/>
      <c r="Y72" s="2"/>
      <c r="Z72" s="2"/>
    </row>
    <row r="73" ht="37.5" customHeight="1">
      <c r="A73" s="3"/>
      <c r="B73" s="3"/>
      <c r="C73" s="3"/>
      <c r="D73" s="100"/>
      <c r="E73" s="100"/>
      <c r="F73" s="100"/>
      <c r="G73" s="3"/>
      <c r="H73" s="101"/>
      <c r="I73" s="101"/>
      <c r="J73" s="102"/>
      <c r="K73" s="103"/>
      <c r="L73" s="101"/>
      <c r="M73" s="101"/>
      <c r="N73" s="101"/>
      <c r="O73" s="3"/>
      <c r="P73" s="2"/>
      <c r="Q73" s="2"/>
      <c r="R73" s="2"/>
      <c r="S73" s="2"/>
      <c r="T73" s="2"/>
      <c r="U73" s="2"/>
      <c r="V73" s="2"/>
      <c r="W73" s="2"/>
      <c r="X73" s="2"/>
      <c r="Y73" s="2"/>
      <c r="Z73" s="2"/>
    </row>
    <row r="74" ht="37.5" customHeight="1">
      <c r="A74" s="3"/>
      <c r="B74" s="3"/>
      <c r="C74" s="3"/>
      <c r="D74" s="100"/>
      <c r="E74" s="100"/>
      <c r="F74" s="100"/>
      <c r="G74" s="3"/>
      <c r="H74" s="101"/>
      <c r="I74" s="101"/>
      <c r="J74" s="102"/>
      <c r="K74" s="103"/>
      <c r="L74" s="101"/>
      <c r="M74" s="101"/>
      <c r="N74" s="101"/>
      <c r="O74" s="3"/>
      <c r="P74" s="2"/>
      <c r="Q74" s="2"/>
      <c r="R74" s="2"/>
      <c r="S74" s="2"/>
      <c r="T74" s="2"/>
      <c r="U74" s="2"/>
      <c r="V74" s="2"/>
      <c r="W74" s="2"/>
      <c r="X74" s="2"/>
      <c r="Y74" s="2"/>
      <c r="Z74" s="2"/>
    </row>
    <row r="75" ht="37.5" customHeight="1">
      <c r="A75" s="3"/>
      <c r="B75" s="3"/>
      <c r="C75" s="3"/>
      <c r="D75" s="100"/>
      <c r="E75" s="100"/>
      <c r="F75" s="100"/>
      <c r="G75" s="3"/>
      <c r="H75" s="101"/>
      <c r="I75" s="101"/>
      <c r="J75" s="102"/>
      <c r="K75" s="103"/>
      <c r="L75" s="101"/>
      <c r="M75" s="101"/>
      <c r="N75" s="101"/>
      <c r="O75" s="3"/>
      <c r="P75" s="2"/>
      <c r="Q75" s="2"/>
      <c r="R75" s="2"/>
      <c r="S75" s="2"/>
      <c r="T75" s="2"/>
      <c r="U75" s="2"/>
      <c r="V75" s="2"/>
      <c r="W75" s="2"/>
      <c r="X75" s="2"/>
      <c r="Y75" s="2"/>
      <c r="Z75" s="2"/>
    </row>
    <row r="76" ht="37.5" customHeight="1">
      <c r="A76" s="3"/>
      <c r="B76" s="3"/>
      <c r="C76" s="3"/>
      <c r="D76" s="100"/>
      <c r="E76" s="100"/>
      <c r="F76" s="100"/>
      <c r="G76" s="3"/>
      <c r="H76" s="101"/>
      <c r="I76" s="101"/>
      <c r="J76" s="102"/>
      <c r="K76" s="103"/>
      <c r="L76" s="101"/>
      <c r="M76" s="101"/>
      <c r="N76" s="101"/>
      <c r="O76" s="3"/>
      <c r="P76" s="2"/>
      <c r="Q76" s="2"/>
      <c r="R76" s="2"/>
      <c r="S76" s="2"/>
      <c r="T76" s="2"/>
      <c r="U76" s="2"/>
      <c r="V76" s="2"/>
      <c r="W76" s="2"/>
      <c r="X76" s="2"/>
      <c r="Y76" s="2"/>
      <c r="Z76" s="2"/>
    </row>
    <row r="77" ht="37.5" customHeight="1">
      <c r="A77" s="3"/>
      <c r="B77" s="3"/>
      <c r="C77" s="3"/>
      <c r="D77" s="100"/>
      <c r="E77" s="100"/>
      <c r="F77" s="100"/>
      <c r="G77" s="3"/>
      <c r="H77" s="101"/>
      <c r="I77" s="101"/>
      <c r="J77" s="102"/>
      <c r="K77" s="103"/>
      <c r="L77" s="101"/>
      <c r="M77" s="101"/>
      <c r="N77" s="101"/>
      <c r="O77" s="3"/>
      <c r="P77" s="2"/>
      <c r="Q77" s="2"/>
      <c r="R77" s="2"/>
      <c r="S77" s="2"/>
      <c r="T77" s="2"/>
      <c r="U77" s="2"/>
      <c r="V77" s="2"/>
      <c r="W77" s="2"/>
      <c r="X77" s="2"/>
      <c r="Y77" s="2"/>
      <c r="Z77" s="2"/>
    </row>
    <row r="78" ht="37.5" customHeight="1">
      <c r="A78" s="3"/>
      <c r="B78" s="3"/>
      <c r="C78" s="3"/>
      <c r="D78" s="100"/>
      <c r="E78" s="100"/>
      <c r="F78" s="100"/>
      <c r="G78" s="3"/>
      <c r="H78" s="101"/>
      <c r="I78" s="101"/>
      <c r="J78" s="102"/>
      <c r="K78" s="103"/>
      <c r="L78" s="101"/>
      <c r="M78" s="101"/>
      <c r="N78" s="101"/>
      <c r="O78" s="3"/>
      <c r="P78" s="2"/>
      <c r="Q78" s="2"/>
      <c r="R78" s="2"/>
      <c r="S78" s="2"/>
      <c r="T78" s="2"/>
      <c r="U78" s="2"/>
      <c r="V78" s="2"/>
      <c r="W78" s="2"/>
      <c r="X78" s="2"/>
      <c r="Y78" s="2"/>
      <c r="Z78" s="2"/>
    </row>
    <row r="79" ht="37.5" customHeight="1">
      <c r="A79" s="3"/>
      <c r="B79" s="3"/>
      <c r="C79" s="3"/>
      <c r="D79" s="100"/>
      <c r="E79" s="100"/>
      <c r="F79" s="100"/>
      <c r="G79" s="3"/>
      <c r="H79" s="101"/>
      <c r="I79" s="101"/>
      <c r="J79" s="102"/>
      <c r="K79" s="103"/>
      <c r="L79" s="101"/>
      <c r="M79" s="101"/>
      <c r="N79" s="101"/>
      <c r="O79" s="3"/>
      <c r="P79" s="2"/>
      <c r="Q79" s="2"/>
      <c r="R79" s="2"/>
      <c r="S79" s="2"/>
      <c r="T79" s="2"/>
      <c r="U79" s="2"/>
      <c r="V79" s="2"/>
      <c r="W79" s="2"/>
      <c r="X79" s="2"/>
      <c r="Y79" s="2"/>
      <c r="Z79" s="2"/>
    </row>
    <row r="80" ht="37.5" customHeight="1">
      <c r="A80" s="3"/>
      <c r="B80" s="3"/>
      <c r="C80" s="3"/>
      <c r="D80" s="100"/>
      <c r="E80" s="100"/>
      <c r="F80" s="100"/>
      <c r="G80" s="3"/>
      <c r="H80" s="101"/>
      <c r="I80" s="101"/>
      <c r="J80" s="102"/>
      <c r="K80" s="103"/>
      <c r="L80" s="101"/>
      <c r="M80" s="101"/>
      <c r="N80" s="101"/>
      <c r="O80" s="3"/>
      <c r="P80" s="2"/>
      <c r="Q80" s="2"/>
      <c r="R80" s="2"/>
      <c r="S80" s="2"/>
      <c r="T80" s="2"/>
      <c r="U80" s="2"/>
      <c r="V80" s="2"/>
      <c r="W80" s="2"/>
      <c r="X80" s="2"/>
      <c r="Y80" s="2"/>
      <c r="Z80" s="2"/>
    </row>
    <row r="81" ht="37.5" customHeight="1">
      <c r="A81" s="3"/>
      <c r="B81" s="3"/>
      <c r="C81" s="3"/>
      <c r="D81" s="100"/>
      <c r="E81" s="100"/>
      <c r="F81" s="100"/>
      <c r="G81" s="3"/>
      <c r="H81" s="101"/>
      <c r="I81" s="101"/>
      <c r="J81" s="102"/>
      <c r="K81" s="103"/>
      <c r="L81" s="101"/>
      <c r="M81" s="101"/>
      <c r="N81" s="101"/>
      <c r="O81" s="3"/>
      <c r="P81" s="2"/>
      <c r="Q81" s="2"/>
      <c r="R81" s="2"/>
      <c r="S81" s="2"/>
      <c r="T81" s="2"/>
      <c r="U81" s="2"/>
      <c r="V81" s="2"/>
      <c r="W81" s="2"/>
      <c r="X81" s="2"/>
      <c r="Y81" s="2"/>
      <c r="Z81" s="2"/>
    </row>
    <row r="82" ht="37.5" customHeight="1">
      <c r="A82" s="3"/>
      <c r="B82" s="3"/>
      <c r="C82" s="3"/>
      <c r="D82" s="100"/>
      <c r="E82" s="100"/>
      <c r="F82" s="100"/>
      <c r="G82" s="3"/>
      <c r="H82" s="101"/>
      <c r="I82" s="101"/>
      <c r="J82" s="102"/>
      <c r="K82" s="103"/>
      <c r="L82" s="101"/>
      <c r="M82" s="101"/>
      <c r="N82" s="101"/>
      <c r="O82" s="3"/>
      <c r="P82" s="2"/>
      <c r="Q82" s="2"/>
      <c r="R82" s="2"/>
      <c r="S82" s="2"/>
      <c r="T82" s="2"/>
      <c r="U82" s="2"/>
      <c r="V82" s="2"/>
      <c r="W82" s="2"/>
      <c r="X82" s="2"/>
      <c r="Y82" s="2"/>
      <c r="Z82" s="2"/>
    </row>
    <row r="83" ht="37.5" customHeight="1">
      <c r="A83" s="3"/>
      <c r="B83" s="3"/>
      <c r="C83" s="3"/>
      <c r="D83" s="100"/>
      <c r="E83" s="100"/>
      <c r="F83" s="100"/>
      <c r="G83" s="3"/>
      <c r="H83" s="101"/>
      <c r="I83" s="101"/>
      <c r="J83" s="102"/>
      <c r="K83" s="103"/>
      <c r="L83" s="101"/>
      <c r="M83" s="101"/>
      <c r="N83" s="101"/>
      <c r="O83" s="3"/>
      <c r="P83" s="2"/>
      <c r="Q83" s="2"/>
      <c r="R83" s="2"/>
      <c r="S83" s="2"/>
      <c r="T83" s="2"/>
      <c r="U83" s="2"/>
      <c r="V83" s="2"/>
      <c r="W83" s="2"/>
      <c r="X83" s="2"/>
      <c r="Y83" s="2"/>
      <c r="Z83" s="2"/>
    </row>
    <row r="84" ht="37.5" customHeight="1">
      <c r="A84" s="3"/>
      <c r="B84" s="3"/>
      <c r="C84" s="3"/>
      <c r="D84" s="100"/>
      <c r="E84" s="100"/>
      <c r="F84" s="100"/>
      <c r="G84" s="3"/>
      <c r="H84" s="101"/>
      <c r="I84" s="101"/>
      <c r="J84" s="102"/>
      <c r="K84" s="103"/>
      <c r="L84" s="101"/>
      <c r="M84" s="101"/>
      <c r="N84" s="101"/>
      <c r="O84" s="3"/>
      <c r="P84" s="2"/>
      <c r="Q84" s="2"/>
      <c r="R84" s="2"/>
      <c r="S84" s="2"/>
      <c r="T84" s="2"/>
      <c r="U84" s="2"/>
      <c r="V84" s="2"/>
      <c r="W84" s="2"/>
      <c r="X84" s="2"/>
      <c r="Y84" s="2"/>
      <c r="Z84" s="2"/>
    </row>
    <row r="85" ht="37.5" customHeight="1">
      <c r="A85" s="3"/>
      <c r="B85" s="3"/>
      <c r="C85" s="3"/>
      <c r="D85" s="100"/>
      <c r="E85" s="100"/>
      <c r="F85" s="100"/>
      <c r="G85" s="3"/>
      <c r="H85" s="101"/>
      <c r="I85" s="101"/>
      <c r="J85" s="102"/>
      <c r="K85" s="103"/>
      <c r="L85" s="101"/>
      <c r="M85" s="101"/>
      <c r="N85" s="101"/>
      <c r="O85" s="3"/>
      <c r="P85" s="2"/>
      <c r="Q85" s="2"/>
      <c r="R85" s="2"/>
      <c r="S85" s="2"/>
      <c r="T85" s="2"/>
      <c r="U85" s="2"/>
      <c r="V85" s="2"/>
      <c r="W85" s="2"/>
      <c r="X85" s="2"/>
      <c r="Y85" s="2"/>
      <c r="Z85" s="2"/>
    </row>
    <row r="86" ht="37.5" customHeight="1">
      <c r="A86" s="3"/>
      <c r="B86" s="3"/>
      <c r="C86" s="3"/>
      <c r="D86" s="100"/>
      <c r="E86" s="100"/>
      <c r="F86" s="100"/>
      <c r="G86" s="3"/>
      <c r="H86" s="101"/>
      <c r="I86" s="101"/>
      <c r="J86" s="102"/>
      <c r="K86" s="103"/>
      <c r="L86" s="101"/>
      <c r="M86" s="101"/>
      <c r="N86" s="101"/>
      <c r="O86" s="3"/>
      <c r="P86" s="2"/>
      <c r="Q86" s="2"/>
      <c r="R86" s="2"/>
      <c r="S86" s="2"/>
      <c r="T86" s="2"/>
      <c r="U86" s="2"/>
      <c r="V86" s="2"/>
      <c r="W86" s="2"/>
      <c r="X86" s="2"/>
      <c r="Y86" s="2"/>
      <c r="Z86" s="2"/>
    </row>
    <row r="87" ht="37.5" customHeight="1">
      <c r="A87" s="3"/>
      <c r="B87" s="3"/>
      <c r="C87" s="3"/>
      <c r="D87" s="100"/>
      <c r="E87" s="100"/>
      <c r="F87" s="100"/>
      <c r="G87" s="3"/>
      <c r="H87" s="101"/>
      <c r="I87" s="101"/>
      <c r="J87" s="102"/>
      <c r="K87" s="103"/>
      <c r="L87" s="101"/>
      <c r="M87" s="101"/>
      <c r="N87" s="101"/>
      <c r="O87" s="3"/>
      <c r="P87" s="2"/>
      <c r="Q87" s="2"/>
      <c r="R87" s="2"/>
      <c r="S87" s="2"/>
      <c r="T87" s="2"/>
      <c r="U87" s="2"/>
      <c r="V87" s="2"/>
      <c r="W87" s="2"/>
      <c r="X87" s="2"/>
      <c r="Y87" s="2"/>
      <c r="Z87" s="2"/>
    </row>
    <row r="88" ht="37.5" customHeight="1">
      <c r="A88" s="3"/>
      <c r="B88" s="3"/>
      <c r="C88" s="3"/>
      <c r="D88" s="100"/>
      <c r="E88" s="100"/>
      <c r="F88" s="100"/>
      <c r="G88" s="3"/>
      <c r="H88" s="101"/>
      <c r="I88" s="101"/>
      <c r="J88" s="102"/>
      <c r="K88" s="103"/>
      <c r="L88" s="101"/>
      <c r="M88" s="101"/>
      <c r="N88" s="101"/>
      <c r="O88" s="3"/>
      <c r="P88" s="2"/>
      <c r="Q88" s="2"/>
      <c r="R88" s="2"/>
      <c r="S88" s="2"/>
      <c r="T88" s="2"/>
      <c r="U88" s="2"/>
      <c r="V88" s="2"/>
      <c r="W88" s="2"/>
      <c r="X88" s="2"/>
      <c r="Y88" s="2"/>
      <c r="Z88" s="2"/>
    </row>
    <row r="89" ht="37.5" customHeight="1">
      <c r="A89" s="3"/>
      <c r="B89" s="3"/>
      <c r="C89" s="3"/>
      <c r="D89" s="100"/>
      <c r="E89" s="100"/>
      <c r="F89" s="100"/>
      <c r="G89" s="3"/>
      <c r="H89" s="101"/>
      <c r="I89" s="101"/>
      <c r="J89" s="102"/>
      <c r="K89" s="103"/>
      <c r="L89" s="101"/>
      <c r="M89" s="101"/>
      <c r="N89" s="101"/>
      <c r="O89" s="3"/>
      <c r="P89" s="2"/>
      <c r="Q89" s="2"/>
      <c r="R89" s="2"/>
      <c r="S89" s="2"/>
      <c r="T89" s="2"/>
      <c r="U89" s="2"/>
      <c r="V89" s="2"/>
      <c r="W89" s="2"/>
      <c r="X89" s="2"/>
      <c r="Y89" s="2"/>
      <c r="Z89" s="2"/>
    </row>
    <row r="90" ht="37.5" customHeight="1">
      <c r="A90" s="3"/>
      <c r="B90" s="3"/>
      <c r="C90" s="3"/>
      <c r="D90" s="100"/>
      <c r="E90" s="100"/>
      <c r="F90" s="100"/>
      <c r="G90" s="3"/>
      <c r="H90" s="101"/>
      <c r="I90" s="101"/>
      <c r="J90" s="102"/>
      <c r="K90" s="103"/>
      <c r="L90" s="101"/>
      <c r="M90" s="101"/>
      <c r="N90" s="101"/>
      <c r="O90" s="3"/>
      <c r="P90" s="2"/>
      <c r="Q90" s="2"/>
      <c r="R90" s="2"/>
      <c r="S90" s="2"/>
      <c r="T90" s="2"/>
      <c r="U90" s="2"/>
      <c r="V90" s="2"/>
      <c r="W90" s="2"/>
      <c r="X90" s="2"/>
      <c r="Y90" s="2"/>
      <c r="Z90" s="2"/>
    </row>
    <row r="91" ht="37.5" customHeight="1">
      <c r="A91" s="3"/>
      <c r="B91" s="3"/>
      <c r="C91" s="3"/>
      <c r="D91" s="100"/>
      <c r="E91" s="100"/>
      <c r="F91" s="100"/>
      <c r="G91" s="3"/>
      <c r="H91" s="101"/>
      <c r="I91" s="101"/>
      <c r="J91" s="102"/>
      <c r="K91" s="103"/>
      <c r="L91" s="101"/>
      <c r="M91" s="101"/>
      <c r="N91" s="101"/>
      <c r="O91" s="3"/>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H1"/>
    <mergeCell ref="A2:H2"/>
    <mergeCell ref="D3:F3"/>
  </mergeCells>
  <conditionalFormatting sqref="B10:B18">
    <cfRule type="expression" dxfId="5" priority="1">
      <formula>B10="Missing"</formula>
    </cfRule>
  </conditionalFormatting>
  <conditionalFormatting sqref="B5">
    <cfRule type="expression" dxfId="5" priority="2">
      <formula>ABS(B5-50000)&gt;5000</formula>
    </cfRule>
  </conditionalFormatting>
  <dataValidations>
    <dataValidation type="list" allowBlank="1" sqref="B63:B91">
      <formula1>"Account monitoring,Prioritization,Inbound issue handling,Customer check-in support,Output quality review,Targeted intervention planning,24/7 responsiveness / escalation,Memory / context retrieval,Evaluation / QA"</formula1>
    </dataValidation>
    <dataValidation type="list" allowBlank="1" sqref="I13:I62">
      <formula1>'Pricing Reference'!$B$5:$B$12</formula1>
    </dataValidation>
    <dataValidation type="list" allowBlank="1" sqref="G16:G91">
      <formula1>"Low-cost model,Mid model,High-reasoning model,Embedding / retrieval"</formula1>
    </dataValidation>
    <dataValidation type="list" allowBlank="1" sqref="E13:E62">
      <formula1>'Cadence Reference'!$A$5:$A$12</formula1>
    </dataValidation>
    <dataValidation type="list" allowBlank="1" sqref="B13:B62">
      <formula1>'Token Math Template'!$D$5:$D$13</formula1>
    </dataValidation>
  </dataValidations>
  <printOptions/>
  <pageMargins bottom="1.0" footer="0.0" header="0.0" left="0.75" right="0.75" top="1.0"/>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7" t="s">
        <v>165</v>
      </c>
      <c r="I1" s="2"/>
      <c r="J1" s="2"/>
      <c r="K1" s="2"/>
      <c r="L1" s="2"/>
      <c r="M1" s="2"/>
      <c r="N1" s="2"/>
      <c r="O1" s="2"/>
      <c r="P1" s="2"/>
      <c r="Q1" s="2"/>
      <c r="R1" s="2"/>
      <c r="S1" s="2"/>
      <c r="T1" s="2"/>
      <c r="U1" s="2"/>
      <c r="V1" s="2"/>
      <c r="W1" s="2"/>
      <c r="X1" s="2"/>
      <c r="Y1" s="2"/>
      <c r="Z1" s="2"/>
    </row>
    <row r="2">
      <c r="A2" s="8" t="s">
        <v>166</v>
      </c>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8" t="s">
        <v>167</v>
      </c>
      <c r="B4" s="28" t="s">
        <v>168</v>
      </c>
      <c r="C4" s="28" t="s">
        <v>169</v>
      </c>
      <c r="D4" s="28" t="s">
        <v>170</v>
      </c>
      <c r="E4" s="28" t="s">
        <v>171</v>
      </c>
      <c r="F4" s="28" t="s">
        <v>132</v>
      </c>
      <c r="G4" s="28" t="s">
        <v>109</v>
      </c>
      <c r="H4" s="28" t="s">
        <v>172</v>
      </c>
      <c r="I4" s="2"/>
      <c r="J4" s="2"/>
      <c r="K4" s="2"/>
      <c r="L4" s="2"/>
      <c r="M4" s="2"/>
      <c r="N4" s="2"/>
      <c r="O4" s="2"/>
      <c r="P4" s="2"/>
      <c r="Q4" s="2"/>
      <c r="R4" s="2"/>
      <c r="S4" s="2"/>
      <c r="T4" s="2"/>
      <c r="U4" s="2"/>
      <c r="V4" s="2"/>
      <c r="W4" s="2"/>
      <c r="X4" s="2"/>
      <c r="Y4" s="2"/>
      <c r="Z4" s="2"/>
    </row>
    <row r="5">
      <c r="A5" s="29" t="s">
        <v>173</v>
      </c>
      <c r="B5" s="104">
        <v>1.0</v>
      </c>
      <c r="C5" s="104">
        <v>1.0</v>
      </c>
      <c r="D5" s="104">
        <v>1.0</v>
      </c>
      <c r="E5" s="104">
        <v>1.0</v>
      </c>
      <c r="F5" s="60">
        <f>IF(COUNTA(B5:E5)&lt;4,"",'Token Math Template'!$B$4*B5*C5*D5*E5)</f>
        <v>8280.00725</v>
      </c>
      <c r="G5" s="105">
        <f>IF(F5="","",F5/'Token Math Template'!$B$3)</f>
        <v>0.165600145</v>
      </c>
      <c r="H5" s="29" t="s">
        <v>174</v>
      </c>
      <c r="I5" s="2"/>
      <c r="J5" s="2"/>
      <c r="K5" s="2"/>
      <c r="L5" s="2"/>
      <c r="M5" s="2"/>
      <c r="N5" s="2"/>
      <c r="O5" s="2"/>
      <c r="P5" s="2"/>
      <c r="Q5" s="2"/>
      <c r="R5" s="2"/>
      <c r="S5" s="2"/>
      <c r="T5" s="2"/>
      <c r="U5" s="2"/>
      <c r="V5" s="2"/>
      <c r="W5" s="2"/>
      <c r="X5" s="2"/>
      <c r="Y5" s="2"/>
      <c r="Z5" s="2"/>
    </row>
    <row r="6">
      <c r="A6" s="32" t="s">
        <v>175</v>
      </c>
      <c r="B6" s="81">
        <v>3.0</v>
      </c>
      <c r="C6" s="81">
        <v>1.5</v>
      </c>
      <c r="D6" s="81">
        <v>1.0</v>
      </c>
      <c r="E6" s="81">
        <v>1.0</v>
      </c>
      <c r="F6" s="82">
        <f>IF(COUNTA(B6:E6)&lt;4,"",'Token Math Template'!$B$4*B6*C6*D6*E6)</f>
        <v>37260.03263</v>
      </c>
      <c r="G6" s="73">
        <f>IF(F6="","",F6/'Token Math Template'!$B$3)</f>
        <v>0.7452006525</v>
      </c>
      <c r="H6" s="74" t="s">
        <v>176</v>
      </c>
      <c r="I6" s="2"/>
      <c r="J6" s="2"/>
      <c r="K6" s="2"/>
      <c r="L6" s="2"/>
      <c r="M6" s="2"/>
      <c r="N6" s="2"/>
      <c r="O6" s="2"/>
      <c r="P6" s="2"/>
      <c r="Q6" s="2"/>
      <c r="R6" s="2"/>
      <c r="S6" s="2"/>
      <c r="T6" s="2"/>
      <c r="U6" s="2"/>
      <c r="V6" s="2"/>
      <c r="W6" s="2"/>
      <c r="X6" s="2"/>
      <c r="Y6" s="2"/>
      <c r="Z6" s="2"/>
    </row>
    <row r="7">
      <c r="A7" s="29" t="s">
        <v>177</v>
      </c>
      <c r="B7" s="90">
        <v>5.0</v>
      </c>
      <c r="C7" s="90">
        <v>2.0</v>
      </c>
      <c r="D7" s="90">
        <v>1.2</v>
      </c>
      <c r="E7" s="90">
        <v>1.5</v>
      </c>
      <c r="F7" s="91">
        <f>IF(COUNTA(B7:E7)&lt;4,"",'Token Math Template'!$B$4*B7*C7*D7*E7)</f>
        <v>149040.1305</v>
      </c>
      <c r="G7" s="62">
        <f>IF(F7="","",F7/'Token Math Template'!$B$3)</f>
        <v>2.98080261</v>
      </c>
      <c r="H7" s="83" t="s">
        <v>178</v>
      </c>
      <c r="I7" s="2"/>
      <c r="J7" s="2"/>
      <c r="K7" s="2"/>
      <c r="L7" s="2"/>
      <c r="M7" s="2"/>
      <c r="N7" s="2"/>
      <c r="O7" s="2"/>
      <c r="P7" s="2"/>
      <c r="Q7" s="2"/>
      <c r="R7" s="2"/>
      <c r="S7" s="2"/>
      <c r="T7" s="2"/>
      <c r="U7" s="2"/>
      <c r="V7" s="2"/>
      <c r="W7" s="2"/>
      <c r="X7" s="2"/>
      <c r="Y7" s="2"/>
      <c r="Z7" s="2"/>
    </row>
    <row r="8">
      <c r="A8" s="32" t="s">
        <v>179</v>
      </c>
      <c r="B8" s="81">
        <v>1.0</v>
      </c>
      <c r="C8" s="81">
        <v>0.8</v>
      </c>
      <c r="D8" s="81">
        <v>0.5</v>
      </c>
      <c r="E8" s="81">
        <v>0.9</v>
      </c>
      <c r="F8" s="82">
        <f>IF(COUNTA(B8:E8)&lt;4,"",'Token Math Template'!$B$4*B8*C8*D8*E8)</f>
        <v>2980.80261</v>
      </c>
      <c r="G8" s="73">
        <f>IF(F8="","",F8/'Token Math Template'!$B$3)</f>
        <v>0.0596160522</v>
      </c>
      <c r="H8" s="74" t="s">
        <v>180</v>
      </c>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H1"/>
    <mergeCell ref="A2:H2"/>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71"/>
  </cols>
  <sheetData>
    <row r="1">
      <c r="A1" s="106" t="s">
        <v>181</v>
      </c>
      <c r="B1" s="106" t="s">
        <v>172</v>
      </c>
    </row>
    <row r="2">
      <c r="A2" s="107" t="s">
        <v>182</v>
      </c>
      <c r="B2" s="107" t="s">
        <v>183</v>
      </c>
    </row>
    <row r="3">
      <c r="A3" s="107" t="s">
        <v>184</v>
      </c>
      <c r="B3" s="107" t="s">
        <v>185</v>
      </c>
    </row>
    <row r="4">
      <c r="A4" s="107" t="s">
        <v>186</v>
      </c>
      <c r="B4" s="107" t="s">
        <v>187</v>
      </c>
    </row>
    <row r="5">
      <c r="A5" s="107" t="s">
        <v>188</v>
      </c>
      <c r="B5" s="107" t="s">
        <v>189</v>
      </c>
    </row>
  </sheetData>
  <drawing r:id="rId1"/>
</worksheet>
</file>